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wkan\My_First_Agent\data\"/>
    </mc:Choice>
  </mc:AlternateContent>
  <xr:revisionPtr revIDLastSave="0" documentId="8_{1E9803AA-EC9C-4175-913E-A6AE5674C9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g 2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7" i="1" l="1"/>
  <c r="F527" i="1"/>
  <c r="E527" i="1"/>
  <c r="D527" i="1"/>
  <c r="C527" i="1"/>
  <c r="G518" i="1"/>
  <c r="F518" i="1"/>
  <c r="E518" i="1"/>
  <c r="D518" i="1"/>
  <c r="C518" i="1"/>
  <c r="G505" i="1"/>
  <c r="F505" i="1"/>
  <c r="E505" i="1"/>
  <c r="D505" i="1"/>
  <c r="C505" i="1"/>
  <c r="G496" i="1"/>
  <c r="F496" i="1"/>
  <c r="E496" i="1"/>
  <c r="D496" i="1"/>
  <c r="C496" i="1"/>
  <c r="G485" i="1"/>
  <c r="F485" i="1"/>
  <c r="E485" i="1"/>
  <c r="D485" i="1"/>
  <c r="C485" i="1"/>
  <c r="G476" i="1"/>
  <c r="F476" i="1"/>
  <c r="E476" i="1"/>
  <c r="D476" i="1"/>
  <c r="C476" i="1"/>
  <c r="G465" i="1"/>
  <c r="F465" i="1"/>
  <c r="E465" i="1"/>
  <c r="D465" i="1"/>
  <c r="C465" i="1"/>
  <c r="G456" i="1"/>
  <c r="F456" i="1"/>
  <c r="E456" i="1"/>
  <c r="D456" i="1"/>
  <c r="C456" i="1"/>
  <c r="G445" i="1"/>
  <c r="F445" i="1"/>
  <c r="E445" i="1"/>
  <c r="D445" i="1"/>
  <c r="C445" i="1"/>
  <c r="G436" i="1"/>
  <c r="F436" i="1"/>
  <c r="E436" i="1"/>
  <c r="D436" i="1"/>
  <c r="C436" i="1"/>
  <c r="G424" i="1"/>
  <c r="F424" i="1"/>
  <c r="E424" i="1"/>
  <c r="D424" i="1"/>
  <c r="C424" i="1"/>
  <c r="G415" i="1"/>
  <c r="F415" i="1"/>
  <c r="E415" i="1"/>
  <c r="D415" i="1"/>
  <c r="C415" i="1"/>
  <c r="G403" i="1"/>
  <c r="F403" i="1"/>
  <c r="E403" i="1"/>
  <c r="D403" i="1"/>
  <c r="C403" i="1"/>
  <c r="G394" i="1"/>
  <c r="F394" i="1"/>
  <c r="E394" i="1"/>
  <c r="D394" i="1"/>
  <c r="C394" i="1"/>
  <c r="G384" i="1"/>
  <c r="F384" i="1"/>
  <c r="E384" i="1"/>
  <c r="D384" i="1"/>
  <c r="C384" i="1"/>
  <c r="G375" i="1"/>
  <c r="F375" i="1"/>
  <c r="E375" i="1"/>
  <c r="D375" i="1"/>
  <c r="C375" i="1"/>
  <c r="G366" i="1"/>
  <c r="F366" i="1"/>
  <c r="E366" i="1"/>
  <c r="D366" i="1"/>
  <c r="C366" i="1"/>
  <c r="G357" i="1"/>
  <c r="F357" i="1"/>
  <c r="E357" i="1"/>
  <c r="D357" i="1"/>
  <c r="C357" i="1"/>
  <c r="G345" i="1"/>
  <c r="F345" i="1"/>
  <c r="E345" i="1"/>
  <c r="D345" i="1"/>
  <c r="C345" i="1"/>
  <c r="G336" i="1"/>
  <c r="F336" i="1"/>
  <c r="E336" i="1"/>
  <c r="D336" i="1"/>
  <c r="C336" i="1"/>
  <c r="G325" i="1"/>
  <c r="F325" i="1"/>
  <c r="E325" i="1"/>
  <c r="D325" i="1"/>
  <c r="C325" i="1"/>
  <c r="G316" i="1"/>
  <c r="F316" i="1"/>
  <c r="E316" i="1"/>
  <c r="D316" i="1"/>
  <c r="C316" i="1"/>
  <c r="G305" i="1"/>
  <c r="F305" i="1"/>
  <c r="E305" i="1"/>
  <c r="D305" i="1"/>
  <c r="C305" i="1"/>
  <c r="G296" i="1"/>
  <c r="F296" i="1"/>
  <c r="E296" i="1"/>
  <c r="D296" i="1"/>
  <c r="C296" i="1"/>
  <c r="G286" i="1"/>
  <c r="F286" i="1"/>
  <c r="E286" i="1"/>
  <c r="D286" i="1"/>
  <c r="C286" i="1"/>
  <c r="G277" i="1"/>
  <c r="F277" i="1"/>
  <c r="E277" i="1"/>
  <c r="D277" i="1"/>
  <c r="C277" i="1"/>
  <c r="G267" i="1"/>
  <c r="F267" i="1"/>
  <c r="E267" i="1"/>
  <c r="D267" i="1"/>
  <c r="C267" i="1"/>
  <c r="G258" i="1"/>
  <c r="F258" i="1"/>
  <c r="E258" i="1"/>
  <c r="D258" i="1"/>
  <c r="C258" i="1"/>
  <c r="G246" i="1"/>
  <c r="F246" i="1"/>
  <c r="E246" i="1"/>
  <c r="D246" i="1"/>
  <c r="C246" i="1"/>
  <c r="G237" i="1"/>
  <c r="F237" i="1"/>
  <c r="E237" i="1"/>
  <c r="D237" i="1"/>
  <c r="C237" i="1"/>
  <c r="G223" i="1"/>
  <c r="F223" i="1"/>
  <c r="E223" i="1"/>
  <c r="D223" i="1"/>
  <c r="C223" i="1"/>
  <c r="D226" i="1" s="1"/>
  <c r="G213" i="1"/>
  <c r="F213" i="1"/>
  <c r="E213" i="1"/>
  <c r="D213" i="1"/>
  <c r="C213" i="1"/>
  <c r="B226" i="1" s="1"/>
  <c r="G199" i="1"/>
  <c r="F199" i="1"/>
  <c r="E199" i="1"/>
  <c r="D199" i="1"/>
  <c r="C199" i="1"/>
  <c r="D202" i="1" s="1"/>
  <c r="G190" i="1"/>
  <c r="F190" i="1"/>
  <c r="E190" i="1"/>
  <c r="D190" i="1"/>
  <c r="C190" i="1"/>
  <c r="B202" i="1" s="1"/>
  <c r="B203" i="1" s="1"/>
  <c r="G175" i="1"/>
  <c r="F175" i="1"/>
  <c r="E175" i="1"/>
  <c r="D175" i="1"/>
  <c r="C175" i="1"/>
  <c r="D179" i="1" s="1"/>
  <c r="G166" i="1"/>
  <c r="F166" i="1"/>
  <c r="E166" i="1"/>
  <c r="D166" i="1"/>
  <c r="C166" i="1"/>
  <c r="B179" i="1" s="1"/>
  <c r="G123" i="1"/>
  <c r="F123" i="1"/>
  <c r="E123" i="1"/>
  <c r="D123" i="1"/>
  <c r="C123" i="1"/>
  <c r="D126" i="1" s="1"/>
  <c r="G114" i="1"/>
  <c r="F114" i="1"/>
  <c r="E114" i="1"/>
  <c r="D114" i="1"/>
  <c r="C114" i="1"/>
  <c r="B126" i="1" s="1"/>
  <c r="B127" i="1" s="1"/>
  <c r="B101" i="1"/>
  <c r="G98" i="1"/>
  <c r="F98" i="1"/>
  <c r="E98" i="1"/>
  <c r="D98" i="1"/>
  <c r="C98" i="1"/>
  <c r="D101" i="1" s="1"/>
  <c r="G89" i="1"/>
  <c r="F89" i="1"/>
  <c r="E89" i="1"/>
  <c r="D89" i="1"/>
  <c r="C89" i="1"/>
  <c r="M83" i="1"/>
  <c r="L83" i="1"/>
  <c r="O80" i="1"/>
  <c r="N80" i="1"/>
  <c r="M80" i="1"/>
  <c r="L80" i="1"/>
  <c r="M79" i="1"/>
  <c r="N78" i="1"/>
  <c r="M78" i="1"/>
  <c r="L78" i="1"/>
  <c r="K78" i="1"/>
  <c r="N76" i="1"/>
  <c r="L76" i="1"/>
  <c r="K76" i="1"/>
  <c r="M75" i="1"/>
  <c r="L75" i="1"/>
  <c r="K75" i="1"/>
  <c r="O74" i="1"/>
  <c r="M74" i="1"/>
  <c r="L74" i="1"/>
  <c r="K74" i="1"/>
  <c r="N73" i="1"/>
  <c r="M73" i="1"/>
  <c r="L73" i="1"/>
  <c r="K73" i="1"/>
  <c r="N72" i="1"/>
  <c r="M72" i="1"/>
  <c r="L72" i="1"/>
  <c r="O71" i="1"/>
  <c r="N71" i="1"/>
  <c r="L71" i="1"/>
  <c r="N70" i="1"/>
  <c r="M70" i="1"/>
  <c r="L70" i="1"/>
  <c r="G71" i="1"/>
  <c r="F71" i="1"/>
  <c r="E71" i="1"/>
  <c r="D71" i="1"/>
  <c r="C71" i="1"/>
  <c r="D75" i="1" s="1"/>
  <c r="O69" i="1"/>
  <c r="L69" i="1"/>
  <c r="K69" i="1"/>
  <c r="L68" i="1"/>
  <c r="K68" i="1"/>
  <c r="O67" i="1"/>
  <c r="N67" i="1"/>
  <c r="M67" i="1"/>
  <c r="L67" i="1"/>
  <c r="K67" i="1"/>
  <c r="M66" i="1"/>
  <c r="L66" i="1"/>
  <c r="K66" i="1"/>
  <c r="O65" i="1"/>
  <c r="N65" i="1"/>
  <c r="M65" i="1"/>
  <c r="L65" i="1"/>
  <c r="K65" i="1"/>
  <c r="O64" i="1"/>
  <c r="N64" i="1"/>
  <c r="M64" i="1"/>
  <c r="K64" i="1"/>
  <c r="O63" i="1"/>
  <c r="N63" i="1"/>
  <c r="M63" i="1"/>
  <c r="L63" i="1"/>
  <c r="K63" i="1"/>
  <c r="N62" i="1"/>
  <c r="M62" i="1"/>
  <c r="L62" i="1"/>
  <c r="K62" i="1"/>
  <c r="N61" i="1"/>
  <c r="M61" i="1"/>
  <c r="L61" i="1"/>
  <c r="K61" i="1"/>
  <c r="G62" i="1"/>
  <c r="F62" i="1"/>
  <c r="E62" i="1"/>
  <c r="D62" i="1"/>
  <c r="C62" i="1"/>
  <c r="B75" i="1" s="1"/>
  <c r="O60" i="1"/>
  <c r="N60" i="1"/>
  <c r="M60" i="1"/>
  <c r="L60" i="1"/>
  <c r="K60" i="1"/>
  <c r="O59" i="1"/>
  <c r="N59" i="1"/>
  <c r="M59" i="1"/>
  <c r="L59" i="1"/>
  <c r="K59" i="1"/>
  <c r="M58" i="1"/>
  <c r="L58" i="1"/>
  <c r="K58" i="1"/>
  <c r="N57" i="1"/>
  <c r="M57" i="1"/>
  <c r="L57" i="1"/>
  <c r="K57" i="1"/>
  <c r="O56" i="1"/>
  <c r="N56" i="1"/>
  <c r="M56" i="1"/>
  <c r="O55" i="1"/>
  <c r="N55" i="1"/>
  <c r="M54" i="1"/>
  <c r="L54" i="1"/>
  <c r="K54" i="1"/>
  <c r="O53" i="1"/>
  <c r="N53" i="1"/>
  <c r="M53" i="1"/>
  <c r="L53" i="1"/>
  <c r="K53" i="1"/>
  <c r="M52" i="1"/>
  <c r="L52" i="1"/>
  <c r="K52" i="1"/>
  <c r="M51" i="1"/>
  <c r="L51" i="1"/>
  <c r="O49" i="1"/>
  <c r="N49" i="1"/>
  <c r="M49" i="1"/>
  <c r="L49" i="1"/>
  <c r="K49" i="1"/>
  <c r="N48" i="1"/>
  <c r="L48" i="1"/>
  <c r="K48" i="1"/>
  <c r="B49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N44" i="1"/>
  <c r="M44" i="1"/>
  <c r="L44" i="1"/>
  <c r="K44" i="1"/>
  <c r="G45" i="1"/>
  <c r="F45" i="1"/>
  <c r="E45" i="1"/>
  <c r="D45" i="1"/>
  <c r="C45" i="1"/>
  <c r="D49" i="1" s="1"/>
  <c r="O43" i="1"/>
  <c r="N43" i="1"/>
  <c r="M43" i="1"/>
  <c r="L43" i="1"/>
  <c r="K43" i="1"/>
  <c r="L42" i="1"/>
  <c r="K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K39" i="1"/>
  <c r="G36" i="1"/>
  <c r="F36" i="1"/>
  <c r="E36" i="1"/>
  <c r="D36" i="1"/>
  <c r="C36" i="1"/>
  <c r="I18" i="1"/>
  <c r="I19" i="1" s="1"/>
  <c r="I20" i="1" s="1"/>
  <c r="I21" i="1" s="1"/>
  <c r="I22" i="1" s="1"/>
  <c r="I23" i="1" s="1"/>
  <c r="I24" i="1" s="1"/>
  <c r="I25" i="1" s="1"/>
  <c r="G19" i="1"/>
  <c r="F19" i="1"/>
  <c r="E19" i="1"/>
  <c r="D19" i="1"/>
  <c r="C19" i="1"/>
  <c r="D23" i="1" s="1"/>
  <c r="G10" i="1"/>
  <c r="F10" i="1"/>
  <c r="E10" i="1"/>
  <c r="D10" i="1"/>
  <c r="C10" i="1"/>
  <c r="B23" i="1" s="1"/>
  <c r="L6" i="1" l="1"/>
  <c r="B180" i="1"/>
  <c r="B227" i="1"/>
  <c r="L9" i="1"/>
  <c r="K3" i="1"/>
  <c r="L8" i="1"/>
  <c r="L7" i="1"/>
  <c r="B76" i="1"/>
  <c r="B24" i="1"/>
  <c r="K5" i="1" s="1"/>
  <c r="B50" i="1"/>
  <c r="B102" i="1"/>
</calcChain>
</file>

<file path=xl/sharedStrings.xml><?xml version="1.0" encoding="utf-8"?>
<sst xmlns="http://schemas.openxmlformats.org/spreadsheetml/2006/main" count="1274" uniqueCount="185">
  <si>
    <t>Team Young</t>
  </si>
  <si>
    <t>Actual Standings</t>
  </si>
  <si>
    <t>Awards</t>
  </si>
  <si>
    <t>Player</t>
  </si>
  <si>
    <t>Pts</t>
  </si>
  <si>
    <t>Rebounds</t>
  </si>
  <si>
    <t>Assists</t>
  </si>
  <si>
    <t>Steals</t>
  </si>
  <si>
    <t>Blocks</t>
  </si>
  <si>
    <t>Showed up</t>
  </si>
  <si>
    <t>Started</t>
  </si>
  <si>
    <t>Team</t>
  </si>
  <si>
    <t>Wins</t>
  </si>
  <si>
    <t>Losses</t>
  </si>
  <si>
    <t>Point Margin</t>
  </si>
  <si>
    <t>MVP(reg season)</t>
  </si>
  <si>
    <t>Vince</t>
  </si>
  <si>
    <t>Carlo</t>
  </si>
  <si>
    <t>Y</t>
  </si>
  <si>
    <t>Young</t>
  </si>
  <si>
    <t>PMVP(Playoffs/final)</t>
  </si>
  <si>
    <t>Rebar</t>
  </si>
  <si>
    <t>McNally</t>
  </si>
  <si>
    <t>N</t>
  </si>
  <si>
    <t>Laub</t>
  </si>
  <si>
    <t>New O</t>
  </si>
  <si>
    <t>First Team All Offense</t>
  </si>
  <si>
    <t>Sy</t>
  </si>
  <si>
    <t>Tink</t>
  </si>
  <si>
    <t>Gavin</t>
  </si>
  <si>
    <t>Dirty</t>
  </si>
  <si>
    <t>First Team All Defense</t>
  </si>
  <si>
    <t>Chris Connor</t>
  </si>
  <si>
    <t>Leo</t>
  </si>
  <si>
    <t>Dom</t>
  </si>
  <si>
    <t>ROTY</t>
  </si>
  <si>
    <t>Logan</t>
  </si>
  <si>
    <t>S</t>
  </si>
  <si>
    <t>Everest Award</t>
  </si>
  <si>
    <t>McHugh</t>
  </si>
  <si>
    <t>Pinky</t>
  </si>
  <si>
    <t>Flannel Bong</t>
  </si>
  <si>
    <t>Fourth Man of the year</t>
  </si>
  <si>
    <t>Isaac</t>
  </si>
  <si>
    <t>Total</t>
  </si>
  <si>
    <t>Hall</t>
  </si>
  <si>
    <t>Glue Guy Award</t>
  </si>
  <si>
    <t>N/A</t>
  </si>
  <si>
    <t>Team Dirty</t>
  </si>
  <si>
    <t>Big O</t>
  </si>
  <si>
    <t>Pat Bev Award</t>
  </si>
  <si>
    <t>Nasty</t>
  </si>
  <si>
    <t>Sam Golub Award(talks/chirps the most)</t>
  </si>
  <si>
    <t>Unc</t>
  </si>
  <si>
    <t>Miller</t>
  </si>
  <si>
    <t>McCarthy</t>
  </si>
  <si>
    <t>Power Rankings</t>
  </si>
  <si>
    <t>Triple Double Requirements(three of any of the stats below)</t>
  </si>
  <si>
    <t>Decker</t>
  </si>
  <si>
    <t>Week 0</t>
  </si>
  <si>
    <t>Week 1</t>
  </si>
  <si>
    <t>Week 2</t>
  </si>
  <si>
    <t>Week 3</t>
  </si>
  <si>
    <t xml:space="preserve">Change </t>
  </si>
  <si>
    <t>Points</t>
  </si>
  <si>
    <t>Bernstein</t>
  </si>
  <si>
    <t>Team Grit</t>
  </si>
  <si>
    <t>Twerk</t>
  </si>
  <si>
    <t>Team Big O</t>
  </si>
  <si>
    <t>Team Laub</t>
  </si>
  <si>
    <t>Team New O</t>
  </si>
  <si>
    <t>Team Nasty</t>
  </si>
  <si>
    <t>Team Tinkler</t>
  </si>
  <si>
    <t>Seed going into final week</t>
  </si>
  <si>
    <t>Game 1</t>
  </si>
  <si>
    <t>Game 2</t>
  </si>
  <si>
    <t>Game 3</t>
  </si>
  <si>
    <t>Team Dom</t>
  </si>
  <si>
    <t>16-4 W vs Flannel</t>
  </si>
  <si>
    <t>16-6 W vs Young</t>
  </si>
  <si>
    <t>16-14 W vs Big O</t>
  </si>
  <si>
    <t>Final Score</t>
  </si>
  <si>
    <t>v</t>
  </si>
  <si>
    <t>16-11 W vs Tink</t>
  </si>
  <si>
    <t>17-14 W vs Flannel</t>
  </si>
  <si>
    <t>15-5 W vs Young</t>
  </si>
  <si>
    <t>Team Flannel Bong</t>
  </si>
  <si>
    <t>Team Flannel</t>
  </si>
  <si>
    <t>Team Tink</t>
  </si>
  <si>
    <t>16-11 L vs New O</t>
  </si>
  <si>
    <t>15-8 W vs Nasty</t>
  </si>
  <si>
    <t>15-3 W vs Laub</t>
  </si>
  <si>
    <t>Winner</t>
  </si>
  <si>
    <t>15-4 W vs Dom</t>
  </si>
  <si>
    <t>16-4 W vs Dirty</t>
  </si>
  <si>
    <t>15-3 L vs Tink</t>
  </si>
  <si>
    <t>16-14 W vs Nasty</t>
  </si>
  <si>
    <t>15-6 L vs Dom</t>
  </si>
  <si>
    <t>16-14 L vs Hall</t>
  </si>
  <si>
    <t>15-4 L vs Laub</t>
  </si>
  <si>
    <t>15-6 W vs Big O</t>
  </si>
  <si>
    <t>15-9 W vs Nasty</t>
  </si>
  <si>
    <t>16-4 L vs Hall</t>
  </si>
  <si>
    <t>17-14 L vs New O</t>
  </si>
  <si>
    <t>15-1 W vs Dirty</t>
  </si>
  <si>
    <t>POTW</t>
  </si>
  <si>
    <t>15-4 W vs Dirty</t>
  </si>
  <si>
    <t>16-6 L vs Hall</t>
  </si>
  <si>
    <t>15-5 L vs New O</t>
  </si>
  <si>
    <t>MVP</t>
  </si>
  <si>
    <t>16-14 L vs Big O</t>
  </si>
  <si>
    <t>15-8 L vs Tink</t>
  </si>
  <si>
    <t>15-9 L vs Dom</t>
  </si>
  <si>
    <t>Rom</t>
  </si>
  <si>
    <t>Honorable Ment</t>
  </si>
  <si>
    <t>15-4 L vs Young</t>
  </si>
  <si>
    <t>16-4 L vs Laub</t>
  </si>
  <si>
    <t>15-1 L vs Flannel</t>
  </si>
  <si>
    <t>Bacon</t>
  </si>
  <si>
    <t>Huddy</t>
  </si>
  <si>
    <t>Laith</t>
  </si>
  <si>
    <t>Tommy</t>
  </si>
  <si>
    <t xml:space="preserve">Sy </t>
  </si>
  <si>
    <t>Andreas</t>
  </si>
  <si>
    <t>Abhi</t>
  </si>
  <si>
    <t>Tyler</t>
  </si>
  <si>
    <t>ROTW</t>
  </si>
  <si>
    <t>Preti</t>
  </si>
  <si>
    <t>Games Played</t>
  </si>
  <si>
    <t>Team Key</t>
  </si>
  <si>
    <t>Austin</t>
  </si>
  <si>
    <t>F</t>
  </si>
  <si>
    <t>H</t>
  </si>
  <si>
    <t>Brady</t>
  </si>
  <si>
    <t>O</t>
  </si>
  <si>
    <t>Noah</t>
  </si>
  <si>
    <t>Kevin</t>
  </si>
  <si>
    <t>B</t>
  </si>
  <si>
    <t>L</t>
  </si>
  <si>
    <t>T</t>
  </si>
  <si>
    <t>Lucky</t>
  </si>
  <si>
    <t>D</t>
  </si>
  <si>
    <t>U</t>
  </si>
  <si>
    <t>Ernst</t>
  </si>
  <si>
    <t>Casey</t>
  </si>
  <si>
    <t>Jake</t>
  </si>
  <si>
    <t>Parsons</t>
  </si>
  <si>
    <t>Freeze</t>
  </si>
  <si>
    <t>Fromal</t>
  </si>
  <si>
    <t>Diego</t>
  </si>
  <si>
    <t>Truman</t>
  </si>
  <si>
    <t>Kyle Fuster</t>
  </si>
  <si>
    <t>Zakhar</t>
  </si>
  <si>
    <t>The Freak</t>
  </si>
  <si>
    <t>Hicks (C)</t>
  </si>
  <si>
    <t>Kieran</t>
  </si>
  <si>
    <t>Carter</t>
  </si>
  <si>
    <t>Game 4</t>
  </si>
  <si>
    <t>Bruno</t>
  </si>
  <si>
    <t>CP</t>
  </si>
  <si>
    <t>Wyatt</t>
  </si>
  <si>
    <t>Vasco</t>
  </si>
  <si>
    <t>Chalem</t>
  </si>
  <si>
    <t>Filip</t>
  </si>
  <si>
    <t>Kian</t>
  </si>
  <si>
    <t>Beckwith</t>
  </si>
  <si>
    <t>Emmet</t>
  </si>
  <si>
    <t>Lehman</t>
  </si>
  <si>
    <t>Game 5</t>
  </si>
  <si>
    <t>Team Laub 16</t>
  </si>
  <si>
    <t xml:space="preserve">Steals </t>
  </si>
  <si>
    <t xml:space="preserve">Abhi </t>
  </si>
  <si>
    <t>Team Dirty 4</t>
  </si>
  <si>
    <t xml:space="preserve">Rebounds </t>
  </si>
  <si>
    <t xml:space="preserve">Assists </t>
  </si>
  <si>
    <t>Final score:</t>
  </si>
  <si>
    <t>16-4</t>
  </si>
  <si>
    <t xml:space="preserve"> Week 3</t>
  </si>
  <si>
    <t>Game 1'</t>
  </si>
  <si>
    <t>Team laub</t>
  </si>
  <si>
    <t>Play in</t>
  </si>
  <si>
    <t>Fromal?</t>
  </si>
  <si>
    <t>Play offs Start</t>
  </si>
  <si>
    <t>Game 6</t>
  </si>
  <si>
    <t>Game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</si>
</sst>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2" fontId="1" fillId="0" borderId="0" xfId="0" applyNumberFormat="1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12"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pring 26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pring 26-style 2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ndings" displayName="Standings" ref="J2:M12">
  <tableColumns count="4">
    <tableColumn id="1" xr3:uid="{00000000-0010-0000-0000-000001000000}" name="Team"/>
    <tableColumn id="2" xr3:uid="{00000000-0010-0000-0000-000002000000}" name="Wins"/>
    <tableColumn id="3" xr3:uid="{00000000-0010-0000-0000-000003000000}" name="Losses"/>
    <tableColumn id="4" xr3:uid="{00000000-0010-0000-0000-000004000000}" name="Point Margin"/>
  </tableColumns>
  <tableStyleInfo name="Spring 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yer_Stats_per_game" displayName="Player_Stats_per_game" ref="J38:Q99">
  <tableColumns count="8">
    <tableColumn id="1" xr3:uid="{00000000-0010-0000-0100-000001000000}" name="Player"/>
    <tableColumn id="2" xr3:uid="{00000000-0010-0000-0100-000002000000}" name="Pts"/>
    <tableColumn id="3" xr3:uid="{00000000-0010-0000-0100-000003000000}" name="Rebounds"/>
    <tableColumn id="4" xr3:uid="{00000000-0010-0000-0100-000004000000}" name="Assists"/>
    <tableColumn id="5" xr3:uid="{00000000-0010-0000-0100-000005000000}" name="Steals"/>
    <tableColumn id="6" xr3:uid="{00000000-0010-0000-0100-000006000000}" name="Blocks"/>
    <tableColumn id="7" xr3:uid="{00000000-0010-0000-0100-000007000000}" name="Games Played"/>
    <tableColumn id="8" xr3:uid="{00000000-0010-0000-0100-000008000000}" name="Team"/>
  </tableColumns>
  <tableStyleInfo name="Spring 26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527"/>
  <sheetViews>
    <sheetView tabSelected="1" topLeftCell="J39" workbookViewId="0"/>
  </sheetViews>
  <sheetFormatPr defaultColWidth="12.6640625" defaultRowHeight="15.75" customHeight="1" x14ac:dyDescent="0.25"/>
  <cols>
    <col min="10" max="10" width="16" customWidth="1"/>
    <col min="12" max="12" width="16.6640625" customWidth="1"/>
    <col min="21" max="21" width="14.6640625" customWidth="1"/>
    <col min="23" max="23" width="14.33203125" customWidth="1"/>
    <col min="24" max="24" width="16" customWidth="1"/>
  </cols>
  <sheetData>
    <row r="1" spans="1:24" ht="13.2" x14ac:dyDescent="0.25">
      <c r="A1" s="7" t="s">
        <v>60</v>
      </c>
      <c r="O1" s="1" t="s">
        <v>1</v>
      </c>
      <c r="T1" s="1" t="s">
        <v>2</v>
      </c>
    </row>
    <row r="2" spans="1:24" ht="22.5" customHeight="1" x14ac:dyDescent="0.25">
      <c r="A2" s="1" t="s">
        <v>0</v>
      </c>
      <c r="I2" s="1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O2" s="1" t="s">
        <v>11</v>
      </c>
      <c r="P2" s="1" t="s">
        <v>12</v>
      </c>
      <c r="Q2" s="1" t="s">
        <v>13</v>
      </c>
      <c r="R2" s="1" t="s">
        <v>14</v>
      </c>
      <c r="T2" s="1" t="s">
        <v>15</v>
      </c>
      <c r="V2" s="1" t="s">
        <v>16</v>
      </c>
    </row>
    <row r="3" spans="1:24" ht="22.5" customHeight="1" x14ac:dyDescent="0.25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3" t="s">
        <v>19</v>
      </c>
      <c r="K3" s="3">
        <f>IF(B23&gt;D23, 1, 0)</f>
        <v>1</v>
      </c>
      <c r="L3" s="3">
        <v>2</v>
      </c>
      <c r="M3" s="3">
        <v>-9</v>
      </c>
      <c r="O3" s="1" t="s">
        <v>45</v>
      </c>
      <c r="P3" s="1">
        <v>3</v>
      </c>
      <c r="Q3" s="1">
        <v>0</v>
      </c>
      <c r="R3" s="1">
        <v>24</v>
      </c>
      <c r="T3" s="1" t="s">
        <v>20</v>
      </c>
      <c r="V3" s="1" t="s">
        <v>21</v>
      </c>
    </row>
    <row r="4" spans="1:24" ht="22.5" customHeight="1" x14ac:dyDescent="0.25">
      <c r="B4" s="1" t="s">
        <v>17</v>
      </c>
      <c r="C4" s="1">
        <v>4</v>
      </c>
      <c r="D4" s="1">
        <v>4</v>
      </c>
      <c r="E4" s="1">
        <v>0</v>
      </c>
      <c r="F4" s="1">
        <v>1</v>
      </c>
      <c r="G4" s="1">
        <v>0</v>
      </c>
      <c r="H4" s="1" t="s">
        <v>18</v>
      </c>
      <c r="J4" s="3" t="s">
        <v>24</v>
      </c>
      <c r="K4" s="3">
        <v>2</v>
      </c>
      <c r="L4" s="3">
        <v>1</v>
      </c>
      <c r="M4" s="3">
        <v>11</v>
      </c>
      <c r="O4" s="1" t="s">
        <v>25</v>
      </c>
      <c r="P4" s="1">
        <v>3</v>
      </c>
      <c r="Q4" s="1">
        <v>0</v>
      </c>
      <c r="R4" s="1">
        <v>18</v>
      </c>
      <c r="T4" s="1" t="s">
        <v>26</v>
      </c>
      <c r="V4" s="1" t="s">
        <v>16</v>
      </c>
      <c r="W4" s="1" t="s">
        <v>27</v>
      </c>
      <c r="X4" s="1" t="s">
        <v>28</v>
      </c>
    </row>
    <row r="5" spans="1:24" ht="22.5" customHeight="1" x14ac:dyDescent="0.25">
      <c r="B5" s="1" t="s">
        <v>22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23</v>
      </c>
      <c r="J5" s="3" t="s">
        <v>30</v>
      </c>
      <c r="K5" s="3">
        <f>IF(B24&lt;D24, 1, 0)</f>
        <v>0</v>
      </c>
      <c r="L5" s="3">
        <v>3</v>
      </c>
      <c r="M5" s="3">
        <v>-37</v>
      </c>
      <c r="O5" s="1" t="s">
        <v>28</v>
      </c>
      <c r="P5" s="1">
        <v>2</v>
      </c>
      <c r="Q5" s="1">
        <v>1</v>
      </c>
      <c r="R5" s="1">
        <v>14</v>
      </c>
      <c r="T5" s="1" t="s">
        <v>31</v>
      </c>
      <c r="V5" s="1" t="s">
        <v>24</v>
      </c>
      <c r="W5" s="1" t="s">
        <v>32</v>
      </c>
      <c r="X5" s="1" t="s">
        <v>21</v>
      </c>
    </row>
    <row r="6" spans="1:24" ht="22.5" customHeight="1" x14ac:dyDescent="0.25">
      <c r="B6" s="1" t="s">
        <v>29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 t="s">
        <v>23</v>
      </c>
      <c r="J6" s="3" t="s">
        <v>34</v>
      </c>
      <c r="K6" s="3">
        <v>2</v>
      </c>
      <c r="L6" s="3">
        <f>IF(B49&gt;D49, 1, 0)</f>
        <v>1</v>
      </c>
      <c r="M6" s="3">
        <v>8</v>
      </c>
      <c r="O6" s="1" t="s">
        <v>24</v>
      </c>
      <c r="P6" s="1">
        <v>2</v>
      </c>
      <c r="Q6" s="1">
        <v>1</v>
      </c>
      <c r="R6" s="1">
        <v>11</v>
      </c>
      <c r="T6" s="1" t="s">
        <v>35</v>
      </c>
      <c r="V6" s="1" t="s">
        <v>16</v>
      </c>
    </row>
    <row r="7" spans="1:24" ht="22.5" customHeight="1" x14ac:dyDescent="0.25">
      <c r="B7" s="1" t="s">
        <v>33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 t="s">
        <v>18</v>
      </c>
      <c r="I7" s="1" t="s">
        <v>37</v>
      </c>
      <c r="J7" s="3" t="s">
        <v>25</v>
      </c>
      <c r="K7" s="3">
        <v>3</v>
      </c>
      <c r="L7" s="3">
        <f>IF(B75&lt;D75, 1, 0)</f>
        <v>0</v>
      </c>
      <c r="M7" s="3">
        <v>18</v>
      </c>
      <c r="O7" s="1" t="s">
        <v>34</v>
      </c>
      <c r="P7" s="1">
        <v>2</v>
      </c>
      <c r="Q7" s="1">
        <v>1</v>
      </c>
      <c r="R7" s="1">
        <v>8</v>
      </c>
      <c r="T7" s="1" t="s">
        <v>38</v>
      </c>
      <c r="V7" s="1" t="s">
        <v>39</v>
      </c>
    </row>
    <row r="8" spans="1:24" ht="22.5" customHeight="1" x14ac:dyDescent="0.25">
      <c r="B8" s="1" t="s">
        <v>36</v>
      </c>
      <c r="C8" s="1">
        <v>8</v>
      </c>
      <c r="D8" s="1">
        <v>5</v>
      </c>
      <c r="E8" s="1">
        <v>0</v>
      </c>
      <c r="F8" s="1">
        <v>0</v>
      </c>
      <c r="G8" s="1">
        <v>1</v>
      </c>
      <c r="H8" s="1" t="s">
        <v>18</v>
      </c>
      <c r="I8" s="1" t="s">
        <v>37</v>
      </c>
      <c r="J8" s="3" t="s">
        <v>28</v>
      </c>
      <c r="K8" s="3">
        <v>2</v>
      </c>
      <c r="L8" s="3">
        <f>IF(B75&gt;D75, 1, 0)</f>
        <v>1</v>
      </c>
      <c r="M8" s="3">
        <v>14</v>
      </c>
      <c r="O8" s="1" t="s">
        <v>41</v>
      </c>
      <c r="P8" s="1">
        <v>1</v>
      </c>
      <c r="Q8" s="1">
        <v>2</v>
      </c>
      <c r="R8" s="1">
        <v>-1</v>
      </c>
      <c r="T8" s="1" t="s">
        <v>42</v>
      </c>
      <c r="V8" s="1" t="s">
        <v>43</v>
      </c>
    </row>
    <row r="9" spans="1:24" ht="22.5" customHeight="1" x14ac:dyDescent="0.25">
      <c r="B9" s="1" t="s">
        <v>40</v>
      </c>
      <c r="C9" s="1">
        <v>3</v>
      </c>
      <c r="D9" s="1">
        <v>2</v>
      </c>
      <c r="F9" s="1">
        <v>1</v>
      </c>
      <c r="H9" s="1" t="s">
        <v>18</v>
      </c>
      <c r="J9" s="3" t="s">
        <v>45</v>
      </c>
      <c r="K9" s="3">
        <v>3</v>
      </c>
      <c r="L9" s="3">
        <f>IF(B101&lt;D101, 1, 0)</f>
        <v>0</v>
      </c>
      <c r="M9" s="3">
        <v>24</v>
      </c>
      <c r="O9" s="1" t="s">
        <v>19</v>
      </c>
      <c r="P9" s="1">
        <v>1</v>
      </c>
      <c r="Q9" s="1">
        <v>2</v>
      </c>
      <c r="R9" s="1">
        <v>-9</v>
      </c>
      <c r="T9" s="1" t="s">
        <v>46</v>
      </c>
      <c r="V9" s="1" t="s">
        <v>47</v>
      </c>
    </row>
    <row r="10" spans="1:24" ht="22.5" customHeight="1" x14ac:dyDescent="0.25">
      <c r="B10" s="4" t="s">
        <v>44</v>
      </c>
      <c r="C10" s="1">
        <f t="shared" ref="C10:D10" si="0">SUM(C4:C9)</f>
        <v>15</v>
      </c>
      <c r="D10" s="1">
        <f t="shared" si="0"/>
        <v>11</v>
      </c>
      <c r="E10" s="1">
        <f>SUM(E4:E8)</f>
        <v>0</v>
      </c>
      <c r="F10" s="1">
        <f>SUM(F4:F9)</f>
        <v>2</v>
      </c>
      <c r="G10" s="1">
        <f>SUM(G4:G8)</f>
        <v>1</v>
      </c>
      <c r="J10" s="3" t="s">
        <v>41</v>
      </c>
      <c r="K10" s="3">
        <v>1</v>
      </c>
      <c r="L10" s="3">
        <v>2</v>
      </c>
      <c r="M10" s="3">
        <v>-1</v>
      </c>
      <c r="O10" s="1" t="s">
        <v>49</v>
      </c>
      <c r="P10" s="1">
        <v>1</v>
      </c>
      <c r="Q10" s="1">
        <v>2</v>
      </c>
      <c r="R10" s="1">
        <v>-9</v>
      </c>
      <c r="T10" s="1" t="s">
        <v>50</v>
      </c>
      <c r="V10" s="1" t="s">
        <v>47</v>
      </c>
    </row>
    <row r="11" spans="1:24" ht="22.5" customHeight="1" x14ac:dyDescent="0.25">
      <c r="A11" s="1" t="s">
        <v>48</v>
      </c>
      <c r="J11" s="3" t="s">
        <v>51</v>
      </c>
      <c r="K11" s="3">
        <v>0</v>
      </c>
      <c r="L11" s="3">
        <v>3</v>
      </c>
      <c r="M11" s="3">
        <v>-15</v>
      </c>
      <c r="O11" s="1" t="s">
        <v>51</v>
      </c>
      <c r="P11" s="1">
        <v>0</v>
      </c>
      <c r="Q11" s="1">
        <v>3</v>
      </c>
      <c r="R11" s="1">
        <v>-15</v>
      </c>
      <c r="T11" s="1" t="s">
        <v>52</v>
      </c>
      <c r="V11" s="1" t="s">
        <v>47</v>
      </c>
    </row>
    <row r="12" spans="1:24" ht="22.5" customHeight="1" x14ac:dyDescent="0.25"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  <c r="I12" s="1" t="s">
        <v>37</v>
      </c>
      <c r="J12" s="3" t="s">
        <v>49</v>
      </c>
      <c r="K12" s="3">
        <v>1</v>
      </c>
      <c r="L12" s="3">
        <v>2</v>
      </c>
      <c r="M12" s="3">
        <v>-9</v>
      </c>
      <c r="O12" s="1" t="s">
        <v>30</v>
      </c>
      <c r="P12" s="1">
        <v>0</v>
      </c>
      <c r="Q12" s="1">
        <v>3</v>
      </c>
      <c r="R12" s="1">
        <v>-37</v>
      </c>
    </row>
    <row r="13" spans="1:24" ht="13.2" x14ac:dyDescent="0.25">
      <c r="B13" s="1" t="s">
        <v>53</v>
      </c>
      <c r="C13" s="1">
        <v>4</v>
      </c>
      <c r="D13" s="1">
        <v>4</v>
      </c>
      <c r="E13" s="1">
        <v>0</v>
      </c>
      <c r="F13" s="1">
        <v>0</v>
      </c>
      <c r="G13" s="1">
        <v>0</v>
      </c>
      <c r="H13" s="1" t="s">
        <v>18</v>
      </c>
      <c r="I13" s="1" t="s">
        <v>37</v>
      </c>
    </row>
    <row r="14" spans="1:24" ht="13.2" x14ac:dyDescent="0.25">
      <c r="B14" s="1" t="s">
        <v>54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 t="s">
        <v>18</v>
      </c>
      <c r="J14" s="1" t="s">
        <v>56</v>
      </c>
      <c r="T14" s="1" t="s">
        <v>57</v>
      </c>
    </row>
    <row r="15" spans="1:24" ht="13.2" x14ac:dyDescent="0.25">
      <c r="B15" s="1" t="s">
        <v>55</v>
      </c>
      <c r="C15" s="1">
        <v>0</v>
      </c>
      <c r="D15" s="1">
        <v>2</v>
      </c>
      <c r="E15" s="1">
        <v>0</v>
      </c>
      <c r="F15" s="1">
        <v>0</v>
      </c>
      <c r="G15" s="1">
        <v>0</v>
      </c>
      <c r="H15" s="1" t="s">
        <v>18</v>
      </c>
      <c r="J15" s="1" t="s">
        <v>59</v>
      </c>
      <c r="K15" s="1" t="s">
        <v>60</v>
      </c>
      <c r="L15" s="1" t="s">
        <v>61</v>
      </c>
      <c r="M15" s="1" t="s">
        <v>62</v>
      </c>
      <c r="N15" s="1" t="s">
        <v>63</v>
      </c>
      <c r="T15" s="1" t="s">
        <v>64</v>
      </c>
      <c r="U15" s="1" t="s">
        <v>5</v>
      </c>
      <c r="V15" s="1" t="s">
        <v>6</v>
      </c>
      <c r="W15" s="1" t="s">
        <v>7</v>
      </c>
      <c r="X15" s="1" t="s">
        <v>8</v>
      </c>
    </row>
    <row r="16" spans="1:24" ht="13.2" x14ac:dyDescent="0.25">
      <c r="B16" s="1" t="s">
        <v>58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 t="s">
        <v>23</v>
      </c>
      <c r="I16" s="1">
        <v>1</v>
      </c>
      <c r="J16" s="1" t="s">
        <v>66</v>
      </c>
      <c r="K16" s="1" t="s">
        <v>66</v>
      </c>
      <c r="L16" s="1" t="s">
        <v>66</v>
      </c>
      <c r="M16" s="1" t="s">
        <v>66</v>
      </c>
      <c r="N16" s="1">
        <v>0</v>
      </c>
      <c r="T16" s="1">
        <v>5</v>
      </c>
      <c r="U16" s="1">
        <v>5</v>
      </c>
      <c r="V16" s="1">
        <v>5</v>
      </c>
      <c r="W16" s="1">
        <v>5</v>
      </c>
      <c r="X16" s="1">
        <v>5</v>
      </c>
    </row>
    <row r="17" spans="1:25" ht="13.2" x14ac:dyDescent="0.25">
      <c r="B17" s="1" t="s">
        <v>65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 t="s">
        <v>18</v>
      </c>
      <c r="I17" s="1">
        <v>2</v>
      </c>
      <c r="J17" s="1" t="s">
        <v>68</v>
      </c>
      <c r="K17" s="1" t="s">
        <v>68</v>
      </c>
      <c r="L17" s="1" t="s">
        <v>69</v>
      </c>
      <c r="M17" s="1" t="s">
        <v>70</v>
      </c>
      <c r="N17" s="1">
        <v>1</v>
      </c>
    </row>
    <row r="18" spans="1:25" ht="13.2" x14ac:dyDescent="0.25">
      <c r="A18" s="1" t="s">
        <v>37</v>
      </c>
      <c r="B18" s="1" t="s">
        <v>67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 t="s">
        <v>18</v>
      </c>
      <c r="I18" s="1">
        <f t="shared" ref="I18:I25" si="1">I17+1</f>
        <v>3</v>
      </c>
      <c r="J18" s="1" t="s">
        <v>71</v>
      </c>
      <c r="K18" s="1" t="s">
        <v>70</v>
      </c>
      <c r="L18" s="1" t="s">
        <v>70</v>
      </c>
      <c r="M18" s="1" t="s">
        <v>72</v>
      </c>
      <c r="N18" s="1">
        <v>2</v>
      </c>
    </row>
    <row r="19" spans="1:25" ht="13.2" x14ac:dyDescent="0.25">
      <c r="B19" s="4" t="s">
        <v>44</v>
      </c>
      <c r="C19" s="1">
        <f t="shared" ref="C19:G19" si="2">SUM(C13:C18)</f>
        <v>4</v>
      </c>
      <c r="D19" s="1">
        <f t="shared" si="2"/>
        <v>9</v>
      </c>
      <c r="E19" s="1">
        <f t="shared" si="2"/>
        <v>0</v>
      </c>
      <c r="F19" s="1">
        <f t="shared" si="2"/>
        <v>0</v>
      </c>
      <c r="G19" s="1">
        <f t="shared" si="2"/>
        <v>0</v>
      </c>
      <c r="I19" s="1">
        <f t="shared" si="1"/>
        <v>4</v>
      </c>
      <c r="J19" s="1" t="s">
        <v>70</v>
      </c>
      <c r="K19" s="1" t="s">
        <v>69</v>
      </c>
      <c r="L19" s="1" t="s">
        <v>68</v>
      </c>
      <c r="M19" s="1" t="s">
        <v>69</v>
      </c>
      <c r="N19" s="1">
        <v>-2</v>
      </c>
      <c r="S19" s="1" t="s">
        <v>73</v>
      </c>
      <c r="T19" s="1" t="s">
        <v>11</v>
      </c>
      <c r="U19" s="1" t="s">
        <v>12</v>
      </c>
      <c r="V19" s="1" t="s">
        <v>13</v>
      </c>
      <c r="W19" s="1" t="s">
        <v>74</v>
      </c>
      <c r="X19" s="1" t="s">
        <v>75</v>
      </c>
      <c r="Y19" s="1" t="s">
        <v>76</v>
      </c>
    </row>
    <row r="20" spans="1:25" ht="13.2" x14ac:dyDescent="0.25">
      <c r="I20" s="1">
        <f t="shared" si="1"/>
        <v>5</v>
      </c>
      <c r="J20" s="1" t="s">
        <v>69</v>
      </c>
      <c r="K20" s="1" t="s">
        <v>71</v>
      </c>
      <c r="L20" s="1" t="s">
        <v>72</v>
      </c>
      <c r="M20" s="1" t="s">
        <v>77</v>
      </c>
      <c r="N20" s="1">
        <v>2</v>
      </c>
      <c r="S20" s="1">
        <v>1</v>
      </c>
      <c r="T20" s="1" t="s">
        <v>66</v>
      </c>
      <c r="U20" s="1">
        <v>3</v>
      </c>
      <c r="V20" s="1">
        <v>0</v>
      </c>
      <c r="W20" s="1" t="s">
        <v>78</v>
      </c>
      <c r="X20" s="1" t="s">
        <v>79</v>
      </c>
      <c r="Y20" s="1" t="s">
        <v>80</v>
      </c>
    </row>
    <row r="21" spans="1:25" ht="13.2" x14ac:dyDescent="0.25">
      <c r="I21" s="1">
        <f t="shared" si="1"/>
        <v>6</v>
      </c>
      <c r="J21" s="1" t="s">
        <v>77</v>
      </c>
      <c r="K21" s="1" t="s">
        <v>0</v>
      </c>
      <c r="L21" s="1" t="s">
        <v>0</v>
      </c>
      <c r="M21" s="1" t="s">
        <v>68</v>
      </c>
      <c r="N21" s="1">
        <v>-2</v>
      </c>
      <c r="S21" s="1">
        <v>3</v>
      </c>
      <c r="T21" s="1" t="s">
        <v>70</v>
      </c>
      <c r="U21" s="1">
        <v>3</v>
      </c>
      <c r="V21" s="1">
        <v>0</v>
      </c>
      <c r="W21" s="1" t="s">
        <v>83</v>
      </c>
      <c r="X21" s="1" t="s">
        <v>84</v>
      </c>
      <c r="Y21" s="1" t="s">
        <v>85</v>
      </c>
    </row>
    <row r="22" spans="1:25" ht="13.2" x14ac:dyDescent="0.25">
      <c r="A22" s="1" t="s">
        <v>81</v>
      </c>
      <c r="B22" s="1" t="s">
        <v>19</v>
      </c>
      <c r="C22" s="1" t="s">
        <v>82</v>
      </c>
      <c r="D22" s="1" t="s">
        <v>67</v>
      </c>
      <c r="I22" s="1">
        <f t="shared" si="1"/>
        <v>7</v>
      </c>
      <c r="J22" s="1" t="s">
        <v>86</v>
      </c>
      <c r="K22" s="1" t="s">
        <v>72</v>
      </c>
      <c r="L22" s="1" t="s">
        <v>77</v>
      </c>
      <c r="M22" s="1" t="s">
        <v>87</v>
      </c>
      <c r="N22" s="1">
        <v>2</v>
      </c>
      <c r="S22" s="1">
        <v>5</v>
      </c>
      <c r="T22" s="1" t="s">
        <v>88</v>
      </c>
      <c r="U22" s="1">
        <v>2</v>
      </c>
      <c r="V22" s="1">
        <v>1</v>
      </c>
      <c r="W22" s="1" t="s">
        <v>89</v>
      </c>
      <c r="X22" s="1" t="s">
        <v>90</v>
      </c>
      <c r="Y22" s="1" t="s">
        <v>91</v>
      </c>
    </row>
    <row r="23" spans="1:25" ht="13.2" x14ac:dyDescent="0.25">
      <c r="B23" s="1">
        <f>C10</f>
        <v>15</v>
      </c>
      <c r="D23" s="1">
        <f>C19</f>
        <v>4</v>
      </c>
      <c r="I23" s="1">
        <f t="shared" si="1"/>
        <v>8</v>
      </c>
      <c r="J23" s="1" t="s">
        <v>72</v>
      </c>
      <c r="K23" s="1" t="s">
        <v>86</v>
      </c>
      <c r="L23" s="1" t="s">
        <v>71</v>
      </c>
      <c r="M23" s="1" t="s">
        <v>0</v>
      </c>
      <c r="N23" s="1">
        <v>-2</v>
      </c>
      <c r="S23" s="1">
        <v>2</v>
      </c>
      <c r="T23" s="1" t="s">
        <v>69</v>
      </c>
      <c r="U23" s="1">
        <v>2</v>
      </c>
      <c r="V23" s="1">
        <v>1</v>
      </c>
      <c r="W23" s="1" t="s">
        <v>93</v>
      </c>
      <c r="X23" s="1" t="s">
        <v>94</v>
      </c>
      <c r="Y23" s="1" t="s">
        <v>95</v>
      </c>
    </row>
    <row r="24" spans="1:25" ht="13.2" x14ac:dyDescent="0.25">
      <c r="A24" s="1" t="s">
        <v>92</v>
      </c>
      <c r="B24" s="1" t="str">
        <f>IF(B23&gt;D23, "Team Young", "Team Dirty")</f>
        <v>Team Young</v>
      </c>
      <c r="I24" s="1">
        <f t="shared" si="1"/>
        <v>9</v>
      </c>
      <c r="J24" s="1" t="s">
        <v>0</v>
      </c>
      <c r="K24" s="1" t="s">
        <v>48</v>
      </c>
      <c r="L24" s="1" t="s">
        <v>86</v>
      </c>
      <c r="M24" s="1" t="s">
        <v>71</v>
      </c>
      <c r="N24" s="1">
        <v>-1</v>
      </c>
      <c r="S24" s="1">
        <v>4</v>
      </c>
      <c r="T24" s="1" t="s">
        <v>68</v>
      </c>
      <c r="U24" s="1">
        <v>1</v>
      </c>
      <c r="V24" s="1">
        <v>2</v>
      </c>
      <c r="W24" s="1" t="s">
        <v>96</v>
      </c>
      <c r="X24" s="1" t="s">
        <v>97</v>
      </c>
      <c r="Y24" s="1" t="s">
        <v>98</v>
      </c>
    </row>
    <row r="25" spans="1:25" ht="13.2" x14ac:dyDescent="0.25">
      <c r="I25" s="1">
        <f t="shared" si="1"/>
        <v>10</v>
      </c>
      <c r="J25" s="1" t="s">
        <v>48</v>
      </c>
      <c r="K25" s="1" t="s">
        <v>77</v>
      </c>
      <c r="L25" s="1" t="s">
        <v>48</v>
      </c>
      <c r="M25" s="1" t="s">
        <v>48</v>
      </c>
      <c r="N25" s="1">
        <v>0</v>
      </c>
      <c r="S25" s="1">
        <v>7</v>
      </c>
      <c r="T25" s="1" t="s">
        <v>77</v>
      </c>
      <c r="U25" s="1">
        <v>2</v>
      </c>
      <c r="V25" s="1">
        <v>1</v>
      </c>
      <c r="W25" s="1" t="s">
        <v>99</v>
      </c>
      <c r="X25" s="1" t="s">
        <v>100</v>
      </c>
      <c r="Y25" s="1" t="s">
        <v>101</v>
      </c>
    </row>
    <row r="26" spans="1:25" ht="13.2" x14ac:dyDescent="0.25">
      <c r="A26" s="4" t="s">
        <v>75</v>
      </c>
      <c r="S26" s="1">
        <v>9</v>
      </c>
      <c r="T26" s="1" t="s">
        <v>87</v>
      </c>
      <c r="U26" s="1">
        <v>1</v>
      </c>
      <c r="V26" s="1">
        <v>2</v>
      </c>
      <c r="W26" s="1" t="s">
        <v>102</v>
      </c>
      <c r="X26" s="1" t="s">
        <v>103</v>
      </c>
      <c r="Y26" s="1" t="s">
        <v>104</v>
      </c>
    </row>
    <row r="27" spans="1:25" ht="13.2" x14ac:dyDescent="0.25">
      <c r="J27" s="1" t="s">
        <v>105</v>
      </c>
      <c r="K27" s="1" t="s">
        <v>60</v>
      </c>
      <c r="L27" s="1" t="s">
        <v>61</v>
      </c>
      <c r="M27" s="1" t="s">
        <v>62</v>
      </c>
      <c r="S27" s="1">
        <v>6</v>
      </c>
      <c r="T27" s="1" t="s">
        <v>0</v>
      </c>
      <c r="U27" s="1">
        <v>1</v>
      </c>
      <c r="V27" s="1">
        <v>2</v>
      </c>
      <c r="W27" s="1" t="s">
        <v>106</v>
      </c>
      <c r="X27" s="1" t="s">
        <v>107</v>
      </c>
      <c r="Y27" s="1" t="s">
        <v>108</v>
      </c>
    </row>
    <row r="28" spans="1:25" ht="13.2" x14ac:dyDescent="0.25">
      <c r="A28" s="1" t="s">
        <v>69</v>
      </c>
      <c r="I28" s="1" t="s">
        <v>109</v>
      </c>
      <c r="J28" s="1" t="s">
        <v>47</v>
      </c>
      <c r="K28" s="1" t="s">
        <v>25</v>
      </c>
      <c r="L28" s="1" t="s">
        <v>28</v>
      </c>
      <c r="M28" s="1" t="s">
        <v>16</v>
      </c>
      <c r="S28" s="1">
        <v>8</v>
      </c>
      <c r="T28" s="1" t="s">
        <v>71</v>
      </c>
      <c r="U28" s="1">
        <v>0</v>
      </c>
      <c r="V28" s="1">
        <v>3</v>
      </c>
      <c r="W28" s="1" t="s">
        <v>110</v>
      </c>
      <c r="X28" s="1" t="s">
        <v>111</v>
      </c>
      <c r="Y28" s="1" t="s">
        <v>112</v>
      </c>
    </row>
    <row r="29" spans="1:25" ht="13.2" x14ac:dyDescent="0.25">
      <c r="B29" s="1" t="s">
        <v>3</v>
      </c>
      <c r="C29" s="1" t="s">
        <v>4</v>
      </c>
      <c r="D29" s="1" t="s">
        <v>5</v>
      </c>
      <c r="E29" s="1" t="s">
        <v>6</v>
      </c>
      <c r="F29" s="1" t="s">
        <v>7</v>
      </c>
      <c r="G29" s="1" t="s">
        <v>8</v>
      </c>
      <c r="I29" s="1" t="s">
        <v>114</v>
      </c>
      <c r="J29" s="1" t="s">
        <v>47</v>
      </c>
      <c r="K29" s="1" t="s">
        <v>36</v>
      </c>
      <c r="L29" s="1" t="s">
        <v>39</v>
      </c>
      <c r="M29" s="1" t="s">
        <v>28</v>
      </c>
      <c r="S29" s="1">
        <v>10</v>
      </c>
      <c r="T29" s="1" t="s">
        <v>48</v>
      </c>
      <c r="U29" s="1">
        <v>0</v>
      </c>
      <c r="V29" s="1">
        <v>3</v>
      </c>
      <c r="W29" s="1" t="s">
        <v>115</v>
      </c>
      <c r="X29" s="1" t="s">
        <v>116</v>
      </c>
      <c r="Y29" s="1" t="s">
        <v>117</v>
      </c>
    </row>
    <row r="30" spans="1:25" ht="13.2" x14ac:dyDescent="0.25">
      <c r="A30" s="1" t="s">
        <v>37</v>
      </c>
      <c r="B30" s="1" t="s">
        <v>113</v>
      </c>
      <c r="C30" s="1">
        <v>5</v>
      </c>
      <c r="D30" s="1">
        <v>0</v>
      </c>
      <c r="E30" s="1">
        <v>0</v>
      </c>
      <c r="F30" s="1">
        <v>0</v>
      </c>
      <c r="G30" s="1">
        <v>0</v>
      </c>
      <c r="H30" s="1" t="s">
        <v>18</v>
      </c>
      <c r="I30" s="1" t="s">
        <v>114</v>
      </c>
      <c r="J30" s="1" t="s">
        <v>47</v>
      </c>
      <c r="K30" s="1" t="s">
        <v>119</v>
      </c>
      <c r="L30" s="1" t="s">
        <v>16</v>
      </c>
      <c r="M30" s="1" t="s">
        <v>34</v>
      </c>
    </row>
    <row r="31" spans="1:25" ht="13.2" x14ac:dyDescent="0.25">
      <c r="B31" s="1" t="s">
        <v>118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 t="s">
        <v>18</v>
      </c>
      <c r="I31" s="1" t="s">
        <v>114</v>
      </c>
      <c r="J31" s="1" t="s">
        <v>47</v>
      </c>
      <c r="K31" s="1" t="s">
        <v>121</v>
      </c>
      <c r="L31" s="1" t="s">
        <v>122</v>
      </c>
      <c r="M31" s="1" t="s">
        <v>123</v>
      </c>
    </row>
    <row r="32" spans="1:25" ht="13.2" x14ac:dyDescent="0.25">
      <c r="A32" s="1" t="s">
        <v>37</v>
      </c>
      <c r="B32" s="1" t="s">
        <v>120</v>
      </c>
      <c r="C32" s="1">
        <v>5</v>
      </c>
      <c r="D32" s="1">
        <v>0</v>
      </c>
      <c r="E32" s="1">
        <v>0</v>
      </c>
      <c r="F32" s="1">
        <v>0</v>
      </c>
      <c r="G32" s="1">
        <v>0</v>
      </c>
      <c r="H32" s="1" t="s">
        <v>18</v>
      </c>
    </row>
    <row r="33" spans="1:20" ht="13.2" x14ac:dyDescent="0.25">
      <c r="B33" s="1" t="s">
        <v>124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s">
        <v>23</v>
      </c>
      <c r="J33" s="1" t="s">
        <v>126</v>
      </c>
    </row>
    <row r="34" spans="1:20" ht="13.2" x14ac:dyDescent="0.25">
      <c r="B34" s="1" t="s">
        <v>125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s">
        <v>23</v>
      </c>
      <c r="J34" s="1" t="s">
        <v>47</v>
      </c>
      <c r="K34" s="1" t="s">
        <v>16</v>
      </c>
      <c r="L34" s="1" t="s">
        <v>127</v>
      </c>
      <c r="M34" s="1" t="s">
        <v>127</v>
      </c>
    </row>
    <row r="35" spans="1:20" ht="13.2" x14ac:dyDescent="0.25">
      <c r="A35" s="1" t="s">
        <v>37</v>
      </c>
      <c r="B35" s="1" t="s">
        <v>24</v>
      </c>
      <c r="C35" s="1">
        <v>4</v>
      </c>
      <c r="D35" s="1">
        <v>0</v>
      </c>
      <c r="E35" s="1">
        <v>0</v>
      </c>
      <c r="F35" s="1">
        <v>0</v>
      </c>
      <c r="G35" s="1">
        <v>0</v>
      </c>
      <c r="H35" s="1" t="s">
        <v>18</v>
      </c>
    </row>
    <row r="36" spans="1:20" ht="13.2" x14ac:dyDescent="0.25">
      <c r="B36" s="4" t="s">
        <v>44</v>
      </c>
      <c r="C36" s="1">
        <f t="shared" ref="C36:D36" si="3">SUM(C30:C35)</f>
        <v>15</v>
      </c>
      <c r="D36" s="1">
        <f t="shared" si="3"/>
        <v>0</v>
      </c>
      <c r="E36" s="1">
        <f>SUM(E30:E34)</f>
        <v>0</v>
      </c>
      <c r="F36" s="1">
        <f>SUM(F30:F35)</f>
        <v>0</v>
      </c>
      <c r="G36" s="1">
        <f>SUM(G30:G34)</f>
        <v>0</v>
      </c>
    </row>
    <row r="37" spans="1:20" ht="13.2" x14ac:dyDescent="0.25">
      <c r="A37" s="1" t="s">
        <v>77</v>
      </c>
    </row>
    <row r="38" spans="1:20" ht="22.5" customHeight="1" x14ac:dyDescent="0.25">
      <c r="B38" s="1" t="s">
        <v>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J38" s="2" t="s">
        <v>3</v>
      </c>
      <c r="K38" s="2" t="s">
        <v>4</v>
      </c>
      <c r="L38" s="2" t="s">
        <v>5</v>
      </c>
      <c r="M38" s="2" t="s">
        <v>6</v>
      </c>
      <c r="N38" s="2" t="s">
        <v>7</v>
      </c>
      <c r="O38" s="2" t="s">
        <v>8</v>
      </c>
      <c r="P38" s="2" t="s">
        <v>128</v>
      </c>
      <c r="Q38" s="2" t="s">
        <v>11</v>
      </c>
      <c r="S38" s="4" t="s">
        <v>129</v>
      </c>
    </row>
    <row r="39" spans="1:20" ht="22.5" customHeight="1" x14ac:dyDescent="0.25">
      <c r="B39" s="1" t="s">
        <v>27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 t="s">
        <v>23</v>
      </c>
      <c r="J39" s="5" t="s">
        <v>39</v>
      </c>
      <c r="K39" s="6">
        <f>46/5</f>
        <v>9.1999999999999993</v>
      </c>
      <c r="L39" s="6">
        <f>27/5</f>
        <v>5.4</v>
      </c>
      <c r="M39" s="6">
        <f>1/5</f>
        <v>0.2</v>
      </c>
      <c r="N39" s="6">
        <f>7/5</f>
        <v>1.4</v>
      </c>
      <c r="O39" s="6">
        <f>1/5</f>
        <v>0.2</v>
      </c>
      <c r="P39" s="6">
        <v>5</v>
      </c>
      <c r="Q39" s="3" t="s">
        <v>131</v>
      </c>
      <c r="S39" s="1" t="s">
        <v>66</v>
      </c>
      <c r="T39" s="1" t="s">
        <v>132</v>
      </c>
    </row>
    <row r="40" spans="1:20" ht="22.5" customHeight="1" x14ac:dyDescent="0.25">
      <c r="B40" s="1" t="s">
        <v>130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s">
        <v>23</v>
      </c>
      <c r="I40" s="1" t="s">
        <v>37</v>
      </c>
      <c r="J40" s="5" t="s">
        <v>16</v>
      </c>
      <c r="K40" s="6">
        <f>50/6</f>
        <v>8.3333333333333339</v>
      </c>
      <c r="L40" s="6">
        <f>43/6</f>
        <v>7.166666666666667</v>
      </c>
      <c r="M40" s="6">
        <f>17/6</f>
        <v>2.8333333333333335</v>
      </c>
      <c r="N40" s="6">
        <f>5/6</f>
        <v>0.83333333333333337</v>
      </c>
      <c r="O40" s="6">
        <f>1/6</f>
        <v>0.16666666666666666</v>
      </c>
      <c r="P40" s="6">
        <v>6</v>
      </c>
      <c r="Q40" s="3" t="s">
        <v>132</v>
      </c>
      <c r="S40" s="1" t="s">
        <v>68</v>
      </c>
      <c r="T40" s="1" t="s">
        <v>134</v>
      </c>
    </row>
    <row r="41" spans="1:20" ht="22.5" customHeight="1" x14ac:dyDescent="0.25">
      <c r="B41" s="1" t="s">
        <v>133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 t="s">
        <v>18</v>
      </c>
      <c r="J41" s="5" t="s">
        <v>21</v>
      </c>
      <c r="K41" s="6">
        <f>42/6</f>
        <v>7</v>
      </c>
      <c r="L41" s="6">
        <f>50/6</f>
        <v>8.3333333333333339</v>
      </c>
      <c r="M41" s="6">
        <f>8/6</f>
        <v>1.3333333333333333</v>
      </c>
      <c r="N41" s="6">
        <f>1/6</f>
        <v>0.16666666666666666</v>
      </c>
      <c r="O41" s="6">
        <f>4/6</f>
        <v>0.66666666666666663</v>
      </c>
      <c r="P41" s="6">
        <v>6</v>
      </c>
      <c r="Q41" s="3" t="s">
        <v>132</v>
      </c>
      <c r="S41" s="1" t="s">
        <v>70</v>
      </c>
      <c r="T41" s="1" t="s">
        <v>23</v>
      </c>
    </row>
    <row r="42" spans="1:20" ht="22.5" customHeight="1" x14ac:dyDescent="0.25">
      <c r="B42" s="1" t="s">
        <v>135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s">
        <v>23</v>
      </c>
      <c r="J42" s="3" t="s">
        <v>28</v>
      </c>
      <c r="K42" s="6">
        <f>26/4</f>
        <v>6.5</v>
      </c>
      <c r="L42" s="6">
        <f>19/4</f>
        <v>4.75</v>
      </c>
      <c r="M42" s="6">
        <v>0.5</v>
      </c>
      <c r="N42" s="6">
        <v>0.25</v>
      </c>
      <c r="O42" s="6">
        <v>0</v>
      </c>
      <c r="P42" s="6">
        <v>4</v>
      </c>
      <c r="Q42" s="3" t="s">
        <v>137</v>
      </c>
      <c r="S42" s="1" t="s">
        <v>69</v>
      </c>
      <c r="T42" s="1" t="s">
        <v>138</v>
      </c>
    </row>
    <row r="43" spans="1:20" ht="22.5" customHeight="1" x14ac:dyDescent="0.25">
      <c r="B43" s="1" t="s">
        <v>136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s">
        <v>23</v>
      </c>
      <c r="I43" s="1" t="s">
        <v>37</v>
      </c>
      <c r="J43" s="3" t="s">
        <v>25</v>
      </c>
      <c r="K43" s="6">
        <f>38/6</f>
        <v>6.333333333333333</v>
      </c>
      <c r="L43" s="6">
        <f>50/6</f>
        <v>8.3333333333333339</v>
      </c>
      <c r="M43" s="6">
        <f>9/6</f>
        <v>1.5</v>
      </c>
      <c r="N43" s="6">
        <f>8/6</f>
        <v>1.3333333333333333</v>
      </c>
      <c r="O43" s="6">
        <f>3/6</f>
        <v>0.5</v>
      </c>
      <c r="P43" s="6">
        <v>6</v>
      </c>
      <c r="Q43" s="3" t="s">
        <v>23</v>
      </c>
      <c r="S43" s="1" t="s">
        <v>71</v>
      </c>
      <c r="T43" s="1" t="s">
        <v>139</v>
      </c>
    </row>
    <row r="44" spans="1:20" ht="22.5" customHeight="1" x14ac:dyDescent="0.25">
      <c r="B44" s="1" t="s">
        <v>34</v>
      </c>
      <c r="C44" s="1">
        <v>3</v>
      </c>
      <c r="D44" s="1">
        <v>0</v>
      </c>
      <c r="E44" s="1">
        <v>0</v>
      </c>
      <c r="F44" s="1">
        <v>0</v>
      </c>
      <c r="G44" s="1">
        <v>0</v>
      </c>
      <c r="H44" s="1" t="s">
        <v>18</v>
      </c>
      <c r="J44" s="5" t="s">
        <v>140</v>
      </c>
      <c r="K44" s="6">
        <f>30/5</f>
        <v>6</v>
      </c>
      <c r="L44" s="6">
        <f>27/5</f>
        <v>5.4</v>
      </c>
      <c r="M44" s="6">
        <f>6/5</f>
        <v>1.2</v>
      </c>
      <c r="N44" s="6">
        <f>2/5</f>
        <v>0.4</v>
      </c>
      <c r="O44" s="6">
        <v>0</v>
      </c>
      <c r="P44" s="6">
        <v>5</v>
      </c>
      <c r="Q44" s="3" t="s">
        <v>139</v>
      </c>
      <c r="S44" s="1" t="s">
        <v>0</v>
      </c>
      <c r="T44" s="1" t="s">
        <v>18</v>
      </c>
    </row>
    <row r="45" spans="1:20" ht="22.5" customHeight="1" x14ac:dyDescent="0.25">
      <c r="B45" s="4" t="s">
        <v>44</v>
      </c>
      <c r="C45" s="1">
        <f t="shared" ref="C45:G45" si="4">SUM(C39:C44)</f>
        <v>4</v>
      </c>
      <c r="D45" s="1">
        <f t="shared" si="4"/>
        <v>0</v>
      </c>
      <c r="E45" s="1">
        <f t="shared" si="4"/>
        <v>0</v>
      </c>
      <c r="F45" s="1">
        <f t="shared" si="4"/>
        <v>0</v>
      </c>
      <c r="G45" s="1">
        <f t="shared" si="4"/>
        <v>0</v>
      </c>
      <c r="J45" s="3" t="s">
        <v>34</v>
      </c>
      <c r="K45" s="6">
        <f>29/5</f>
        <v>5.8</v>
      </c>
      <c r="L45" s="6">
        <f>19/4</f>
        <v>4.75</v>
      </c>
      <c r="M45" s="6">
        <f t="shared" ref="M45:N45" si="5">3/4</f>
        <v>0.75</v>
      </c>
      <c r="N45" s="6">
        <f t="shared" si="5"/>
        <v>0.75</v>
      </c>
      <c r="O45" s="6">
        <f>1/4</f>
        <v>0.25</v>
      </c>
      <c r="P45" s="6">
        <v>5</v>
      </c>
      <c r="Q45" s="3" t="s">
        <v>141</v>
      </c>
      <c r="S45" s="1" t="s">
        <v>72</v>
      </c>
      <c r="T45" s="1" t="s">
        <v>137</v>
      </c>
    </row>
    <row r="46" spans="1:20" ht="22.5" customHeight="1" x14ac:dyDescent="0.25">
      <c r="J46" s="5" t="s">
        <v>49</v>
      </c>
      <c r="K46" s="6">
        <f t="shared" ref="K46:K47" si="6">23/4</f>
        <v>5.75</v>
      </c>
      <c r="L46" s="6">
        <f>37/4</f>
        <v>9.25</v>
      </c>
      <c r="M46" s="6">
        <f>6/4</f>
        <v>1.5</v>
      </c>
      <c r="N46" s="6">
        <f t="shared" ref="N46:O46" si="7">1/4</f>
        <v>0.25</v>
      </c>
      <c r="O46" s="6">
        <f t="shared" si="7"/>
        <v>0.25</v>
      </c>
      <c r="P46" s="6">
        <v>4</v>
      </c>
      <c r="Q46" s="3" t="s">
        <v>134</v>
      </c>
      <c r="S46" s="1" t="s">
        <v>86</v>
      </c>
      <c r="T46" s="1" t="s">
        <v>131</v>
      </c>
    </row>
    <row r="47" spans="1:20" ht="22.5" customHeight="1" x14ac:dyDescent="0.25">
      <c r="J47" s="3" t="s">
        <v>27</v>
      </c>
      <c r="K47" s="6">
        <f t="shared" si="6"/>
        <v>5.75</v>
      </c>
      <c r="L47" s="6">
        <f>34/4</f>
        <v>8.5</v>
      </c>
      <c r="M47" s="6">
        <f>15/4</f>
        <v>3.75</v>
      </c>
      <c r="N47" s="6">
        <f t="shared" ref="N47:O47" si="8">1/4</f>
        <v>0.25</v>
      </c>
      <c r="O47" s="6">
        <f t="shared" si="8"/>
        <v>0.25</v>
      </c>
      <c r="P47" s="6">
        <v>4</v>
      </c>
      <c r="Q47" s="3" t="s">
        <v>141</v>
      </c>
      <c r="S47" s="1" t="s">
        <v>48</v>
      </c>
      <c r="T47" s="1" t="s">
        <v>142</v>
      </c>
    </row>
    <row r="48" spans="1:20" ht="22.5" customHeight="1" x14ac:dyDescent="0.25">
      <c r="A48" s="1" t="s">
        <v>81</v>
      </c>
      <c r="B48" s="1" t="s">
        <v>24</v>
      </c>
      <c r="C48" s="1" t="s">
        <v>82</v>
      </c>
      <c r="D48" s="1" t="s">
        <v>34</v>
      </c>
      <c r="J48" s="3" t="s">
        <v>113</v>
      </c>
      <c r="K48" s="6">
        <f>22/4</f>
        <v>5.5</v>
      </c>
      <c r="L48" s="6">
        <f>11/3</f>
        <v>3.6666666666666665</v>
      </c>
      <c r="M48" s="6">
        <v>0</v>
      </c>
      <c r="N48" s="6">
        <f>4/3</f>
        <v>1.3333333333333333</v>
      </c>
      <c r="O48" s="6">
        <v>0</v>
      </c>
      <c r="P48" s="6">
        <v>4</v>
      </c>
      <c r="Q48" s="3" t="s">
        <v>138</v>
      </c>
      <c r="S48" s="1" t="s">
        <v>77</v>
      </c>
      <c r="T48" s="1" t="s">
        <v>141</v>
      </c>
    </row>
    <row r="49" spans="1:17" ht="22.5" customHeight="1" x14ac:dyDescent="0.25">
      <c r="B49" s="1">
        <f>C36</f>
        <v>15</v>
      </c>
      <c r="D49" s="1">
        <f>C45</f>
        <v>4</v>
      </c>
      <c r="J49" s="5" t="s">
        <v>32</v>
      </c>
      <c r="K49" s="6">
        <f>32/6</f>
        <v>5.333333333333333</v>
      </c>
      <c r="L49" s="6">
        <f>50/6</f>
        <v>8.3333333333333339</v>
      </c>
      <c r="M49" s="6">
        <f>13/6</f>
        <v>2.1666666666666665</v>
      </c>
      <c r="N49" s="6">
        <f>5/6</f>
        <v>0.83333333333333337</v>
      </c>
      <c r="O49" s="6">
        <f>3/6</f>
        <v>0.5</v>
      </c>
      <c r="P49" s="6">
        <v>6</v>
      </c>
      <c r="Q49" s="3" t="s">
        <v>23</v>
      </c>
    </row>
    <row r="50" spans="1:17" ht="22.5" customHeight="1" x14ac:dyDescent="0.25">
      <c r="A50" s="1" t="s">
        <v>92</v>
      </c>
      <c r="B50" s="1" t="str">
        <f>IF(B49&gt;D49, "Team Laub", "Team Dom")</f>
        <v>Team Laub</v>
      </c>
      <c r="J50" s="3" t="s">
        <v>36</v>
      </c>
      <c r="K50" s="6">
        <v>5</v>
      </c>
      <c r="L50" s="6">
        <v>6.5</v>
      </c>
      <c r="M50" s="6">
        <v>0</v>
      </c>
      <c r="N50" s="6">
        <v>0.5</v>
      </c>
      <c r="O50" s="6">
        <v>0.5</v>
      </c>
      <c r="P50" s="6">
        <v>2</v>
      </c>
      <c r="Q50" s="3" t="s">
        <v>18</v>
      </c>
    </row>
    <row r="51" spans="1:17" ht="22.5" customHeight="1" x14ac:dyDescent="0.25">
      <c r="J51" s="5" t="s">
        <v>143</v>
      </c>
      <c r="K51" s="6">
        <v>5</v>
      </c>
      <c r="L51" s="6">
        <f>21/4</f>
        <v>5.25</v>
      </c>
      <c r="M51" s="6">
        <f>9/4</f>
        <v>2.25</v>
      </c>
      <c r="N51" s="6">
        <v>0</v>
      </c>
      <c r="O51" s="6">
        <v>0.5</v>
      </c>
      <c r="P51" s="6">
        <v>4</v>
      </c>
      <c r="Q51" s="3" t="s">
        <v>137</v>
      </c>
    </row>
    <row r="52" spans="1:17" ht="22.5" customHeight="1" x14ac:dyDescent="0.25">
      <c r="A52" s="4" t="s">
        <v>76</v>
      </c>
      <c r="J52" s="3" t="s">
        <v>120</v>
      </c>
      <c r="K52" s="6">
        <f>14/3</f>
        <v>4.666666666666667</v>
      </c>
      <c r="L52" s="6">
        <f>6/2</f>
        <v>3</v>
      </c>
      <c r="M52" s="6">
        <f>2/2</f>
        <v>1</v>
      </c>
      <c r="N52" s="6">
        <v>0</v>
      </c>
      <c r="O52" s="6">
        <v>0</v>
      </c>
      <c r="P52" s="6">
        <v>3</v>
      </c>
      <c r="Q52" s="3" t="s">
        <v>138</v>
      </c>
    </row>
    <row r="53" spans="1:17" ht="22.5" customHeight="1" x14ac:dyDescent="0.25">
      <c r="J53" s="5" t="s">
        <v>121</v>
      </c>
      <c r="K53" s="6">
        <f>23/5</f>
        <v>4.5999999999999996</v>
      </c>
      <c r="L53" s="6">
        <f>19/5</f>
        <v>3.8</v>
      </c>
      <c r="M53" s="6">
        <f t="shared" ref="M53:O53" si="9">4/5</f>
        <v>0.8</v>
      </c>
      <c r="N53" s="6">
        <f t="shared" si="9"/>
        <v>0.8</v>
      </c>
      <c r="O53" s="6">
        <f t="shared" si="9"/>
        <v>0.8</v>
      </c>
      <c r="P53" s="6">
        <v>5</v>
      </c>
      <c r="Q53" s="3" t="s">
        <v>139</v>
      </c>
    </row>
    <row r="54" spans="1:17" ht="22.5" customHeight="1" x14ac:dyDescent="0.25">
      <c r="A54" s="1" t="s">
        <v>70</v>
      </c>
      <c r="J54" s="3" t="s">
        <v>130</v>
      </c>
      <c r="K54" s="6">
        <f>13/3</f>
        <v>4.333333333333333</v>
      </c>
      <c r="L54" s="6">
        <f>14/3</f>
        <v>4.666666666666667</v>
      </c>
      <c r="M54" s="6">
        <f>4/3</f>
        <v>1.3333333333333333</v>
      </c>
      <c r="N54" s="6">
        <v>0</v>
      </c>
      <c r="O54" s="6">
        <v>0</v>
      </c>
      <c r="P54" s="6">
        <v>3</v>
      </c>
      <c r="Q54" s="3" t="s">
        <v>141</v>
      </c>
    </row>
    <row r="55" spans="1:17" ht="22.5" customHeight="1" x14ac:dyDescent="0.25">
      <c r="B55" s="1" t="s">
        <v>3</v>
      </c>
      <c r="C55" s="1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I55" s="1" t="s">
        <v>37</v>
      </c>
      <c r="J55" s="5" t="s">
        <v>127</v>
      </c>
      <c r="K55" s="6">
        <v>4</v>
      </c>
      <c r="L55" s="6">
        <v>6</v>
      </c>
      <c r="M55" s="6">
        <v>3</v>
      </c>
      <c r="N55" s="6">
        <f>6/5</f>
        <v>1.2</v>
      </c>
      <c r="O55" s="6">
        <f>2/5</f>
        <v>0.4</v>
      </c>
      <c r="P55" s="6">
        <v>5</v>
      </c>
      <c r="Q55" s="3" t="s">
        <v>131</v>
      </c>
    </row>
    <row r="56" spans="1:17" ht="22.5" customHeight="1" x14ac:dyDescent="0.25">
      <c r="B56" s="5" t="s">
        <v>32</v>
      </c>
      <c r="C56" s="1">
        <v>3</v>
      </c>
      <c r="D56" s="1">
        <v>4</v>
      </c>
      <c r="E56" s="1">
        <v>2</v>
      </c>
      <c r="F56" s="1">
        <v>0</v>
      </c>
      <c r="G56" s="1">
        <v>0</v>
      </c>
      <c r="H56" s="1" t="s">
        <v>18</v>
      </c>
      <c r="J56" s="5" t="s">
        <v>145</v>
      </c>
      <c r="K56" s="6">
        <v>4</v>
      </c>
      <c r="L56" s="6">
        <v>6</v>
      </c>
      <c r="M56" s="6">
        <f>4/5</f>
        <v>0.8</v>
      </c>
      <c r="N56" s="6">
        <f>3/5</f>
        <v>0.6</v>
      </c>
      <c r="O56" s="6">
        <f>1/5</f>
        <v>0.2</v>
      </c>
      <c r="P56" s="6">
        <v>5</v>
      </c>
      <c r="Q56" s="3" t="s">
        <v>134</v>
      </c>
    </row>
    <row r="57" spans="1:17" ht="22.5" customHeight="1" x14ac:dyDescent="0.25">
      <c r="B57" s="5" t="s">
        <v>144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s">
        <v>23</v>
      </c>
      <c r="I57" s="1" t="s">
        <v>37</v>
      </c>
      <c r="J57" s="5" t="s">
        <v>119</v>
      </c>
      <c r="K57" s="6">
        <f t="shared" ref="K57:K58" si="10">15/4</f>
        <v>3.75</v>
      </c>
      <c r="L57" s="6">
        <f>25/4</f>
        <v>6.25</v>
      </c>
      <c r="M57" s="6">
        <f>9/4</f>
        <v>2.25</v>
      </c>
      <c r="N57" s="6">
        <f>3/4</f>
        <v>0.75</v>
      </c>
      <c r="O57" s="6">
        <v>1</v>
      </c>
      <c r="P57" s="6">
        <v>4</v>
      </c>
      <c r="Q57" s="3" t="s">
        <v>134</v>
      </c>
    </row>
    <row r="58" spans="1:17" ht="22.5" customHeight="1" x14ac:dyDescent="0.25">
      <c r="B58" s="5" t="s">
        <v>146</v>
      </c>
      <c r="C58" s="1">
        <v>0</v>
      </c>
      <c r="D58" s="1">
        <v>2</v>
      </c>
      <c r="E58" s="1">
        <v>1</v>
      </c>
      <c r="F58" s="1">
        <v>0</v>
      </c>
      <c r="G58" s="1">
        <v>0</v>
      </c>
      <c r="H58" s="1" t="s">
        <v>18</v>
      </c>
      <c r="J58" s="3" t="s">
        <v>53</v>
      </c>
      <c r="K58" s="6">
        <f t="shared" si="10"/>
        <v>3.75</v>
      </c>
      <c r="L58" s="6">
        <f>20/4</f>
        <v>5</v>
      </c>
      <c r="M58" s="6">
        <f>3/4</f>
        <v>0.75</v>
      </c>
      <c r="N58" s="6">
        <v>0</v>
      </c>
      <c r="O58" s="6">
        <v>0</v>
      </c>
      <c r="P58" s="6">
        <v>4</v>
      </c>
      <c r="Q58" s="3" t="s">
        <v>142</v>
      </c>
    </row>
    <row r="59" spans="1:17" ht="22.5" customHeight="1" x14ac:dyDescent="0.25">
      <c r="B59" s="5" t="s">
        <v>123</v>
      </c>
      <c r="C59" s="1">
        <v>2</v>
      </c>
      <c r="D59" s="1">
        <v>0</v>
      </c>
      <c r="E59" s="1">
        <v>0</v>
      </c>
      <c r="F59" s="1">
        <v>0</v>
      </c>
      <c r="G59" s="1">
        <v>0</v>
      </c>
      <c r="H59" s="1" t="s">
        <v>18</v>
      </c>
      <c r="J59" s="5" t="s">
        <v>123</v>
      </c>
      <c r="K59" s="6">
        <f>21/6</f>
        <v>3.5</v>
      </c>
      <c r="L59" s="6">
        <f>15/6</f>
        <v>2.5</v>
      </c>
      <c r="M59" s="6">
        <f>2/6</f>
        <v>0.33333333333333331</v>
      </c>
      <c r="N59" s="6">
        <f t="shared" ref="N59:O59" si="11">4/6</f>
        <v>0.66666666666666663</v>
      </c>
      <c r="O59" s="6">
        <f t="shared" si="11"/>
        <v>0.66666666666666663</v>
      </c>
      <c r="P59" s="6">
        <v>6</v>
      </c>
      <c r="Q59" s="3" t="s">
        <v>23</v>
      </c>
    </row>
    <row r="60" spans="1:17" ht="22.5" customHeight="1" x14ac:dyDescent="0.25">
      <c r="B60" s="5" t="s">
        <v>147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 t="s">
        <v>18</v>
      </c>
      <c r="I60" s="1" t="s">
        <v>37</v>
      </c>
      <c r="J60" s="3" t="s">
        <v>17</v>
      </c>
      <c r="K60" s="6">
        <f>11/4</f>
        <v>2.75</v>
      </c>
      <c r="L60" s="6">
        <f>27/4</f>
        <v>6.75</v>
      </c>
      <c r="M60" s="6">
        <f>3/4</f>
        <v>0.75</v>
      </c>
      <c r="N60" s="6">
        <f>2/4</f>
        <v>0.5</v>
      </c>
      <c r="O60" s="6">
        <f>3/4</f>
        <v>0.75</v>
      </c>
      <c r="P60" s="6">
        <v>4</v>
      </c>
      <c r="Q60" s="3" t="s">
        <v>18</v>
      </c>
    </row>
    <row r="61" spans="1:17" ht="22.5" customHeight="1" x14ac:dyDescent="0.25">
      <c r="B61" s="1" t="s">
        <v>25</v>
      </c>
      <c r="C61" s="1">
        <v>11</v>
      </c>
      <c r="D61" s="1">
        <v>6</v>
      </c>
      <c r="E61" s="1">
        <v>0</v>
      </c>
      <c r="F61" s="1">
        <v>1</v>
      </c>
      <c r="G61" s="1">
        <v>0</v>
      </c>
      <c r="H61" s="1" t="s">
        <v>18</v>
      </c>
      <c r="J61" s="3" t="s">
        <v>40</v>
      </c>
      <c r="K61" s="6">
        <f>8/3</f>
        <v>2.6666666666666665</v>
      </c>
      <c r="L61" s="6">
        <f>11/3</f>
        <v>3.6666666666666665</v>
      </c>
      <c r="M61" s="6">
        <f t="shared" ref="M61:N61" si="12">1/3</f>
        <v>0.33333333333333331</v>
      </c>
      <c r="N61" s="6">
        <f t="shared" si="12"/>
        <v>0.33333333333333331</v>
      </c>
      <c r="O61" s="6">
        <v>0</v>
      </c>
      <c r="P61" s="6">
        <v>3</v>
      </c>
      <c r="Q61" s="3" t="s">
        <v>18</v>
      </c>
    </row>
    <row r="62" spans="1:17" ht="22.5" customHeight="1" x14ac:dyDescent="0.25">
      <c r="B62" s="4" t="s">
        <v>44</v>
      </c>
      <c r="C62" s="1">
        <f t="shared" ref="C62:D62" si="13">SUM(C56:C61)</f>
        <v>16</v>
      </c>
      <c r="D62" s="1">
        <f t="shared" si="13"/>
        <v>12</v>
      </c>
      <c r="E62" s="1">
        <f>SUM(E56:E60)</f>
        <v>3</v>
      </c>
      <c r="F62" s="1">
        <f>SUM(F56:F61)</f>
        <v>2</v>
      </c>
      <c r="G62" s="1">
        <f>SUM(G56:G60)</f>
        <v>0</v>
      </c>
      <c r="J62" s="5" t="s">
        <v>148</v>
      </c>
      <c r="K62" s="6">
        <f>13/5</f>
        <v>2.6</v>
      </c>
      <c r="L62" s="6">
        <f>25/5</f>
        <v>5</v>
      </c>
      <c r="M62" s="6">
        <f>12/5</f>
        <v>2.4</v>
      </c>
      <c r="N62" s="6">
        <f>5/5</f>
        <v>1</v>
      </c>
      <c r="O62" s="6">
        <v>0</v>
      </c>
      <c r="P62" s="6">
        <v>5</v>
      </c>
      <c r="Q62" s="3" t="s">
        <v>137</v>
      </c>
    </row>
    <row r="63" spans="1:17" ht="22.5" customHeight="1" x14ac:dyDescent="0.25">
      <c r="A63" s="1" t="s">
        <v>88</v>
      </c>
      <c r="J63" s="3" t="s">
        <v>24</v>
      </c>
      <c r="K63" s="6">
        <f>10/4</f>
        <v>2.5</v>
      </c>
      <c r="L63" s="6">
        <f>23/3</f>
        <v>7.666666666666667</v>
      </c>
      <c r="M63" s="6">
        <f>6/3</f>
        <v>2</v>
      </c>
      <c r="N63" s="6">
        <f>7/3</f>
        <v>2.3333333333333335</v>
      </c>
      <c r="O63" s="6">
        <f>2/3</f>
        <v>0.66666666666666663</v>
      </c>
      <c r="P63" s="6">
        <v>4</v>
      </c>
      <c r="Q63" s="3" t="s">
        <v>138</v>
      </c>
    </row>
    <row r="64" spans="1:17" ht="22.5" customHeight="1" x14ac:dyDescent="0.25">
      <c r="B64" s="1" t="s">
        <v>3</v>
      </c>
      <c r="C64" s="1" t="s">
        <v>4</v>
      </c>
      <c r="D64" s="1" t="s">
        <v>5</v>
      </c>
      <c r="E64" s="1" t="s">
        <v>6</v>
      </c>
      <c r="F64" s="1" t="s">
        <v>7</v>
      </c>
      <c r="G64" s="1" t="s">
        <v>8</v>
      </c>
      <c r="I64" s="1" t="s">
        <v>37</v>
      </c>
      <c r="J64" s="5" t="s">
        <v>43</v>
      </c>
      <c r="K64" s="6">
        <f>7/3</f>
        <v>2.3333333333333335</v>
      </c>
      <c r="L64" s="6">
        <v>6</v>
      </c>
      <c r="M64" s="6">
        <f>4/3</f>
        <v>1.3333333333333333</v>
      </c>
      <c r="N64" s="6">
        <f>2/3</f>
        <v>0.66666666666666663</v>
      </c>
      <c r="O64" s="6">
        <f>1/3</f>
        <v>0.33333333333333331</v>
      </c>
      <c r="P64" s="6">
        <v>3</v>
      </c>
      <c r="Q64" s="3" t="s">
        <v>134</v>
      </c>
    </row>
    <row r="65" spans="1:17" ht="22.5" customHeight="1" x14ac:dyDescent="0.25">
      <c r="B65" s="5" t="s">
        <v>143</v>
      </c>
      <c r="C65" s="1">
        <v>7</v>
      </c>
      <c r="D65" s="1">
        <v>7</v>
      </c>
      <c r="E65" s="1">
        <v>0</v>
      </c>
      <c r="F65" s="1">
        <v>0</v>
      </c>
      <c r="G65" s="1">
        <v>0</v>
      </c>
      <c r="H65" s="1" t="s">
        <v>18</v>
      </c>
      <c r="I65" s="1" t="s">
        <v>37</v>
      </c>
      <c r="J65" s="3" t="s">
        <v>67</v>
      </c>
      <c r="K65" s="6">
        <f>9/4</f>
        <v>2.25</v>
      </c>
      <c r="L65" s="6">
        <f>13/4</f>
        <v>3.25</v>
      </c>
      <c r="M65" s="6">
        <f t="shared" ref="M65:N65" si="14">2/4</f>
        <v>0.5</v>
      </c>
      <c r="N65" s="6">
        <f t="shared" si="14"/>
        <v>0.5</v>
      </c>
      <c r="O65" s="6">
        <f>1/4</f>
        <v>0.25</v>
      </c>
      <c r="P65" s="6">
        <v>4</v>
      </c>
      <c r="Q65" s="3" t="s">
        <v>142</v>
      </c>
    </row>
    <row r="66" spans="1:17" ht="22.5" customHeight="1" x14ac:dyDescent="0.25">
      <c r="B66" s="5" t="s">
        <v>148</v>
      </c>
      <c r="C66" s="1">
        <v>3</v>
      </c>
      <c r="D66" s="1">
        <v>8</v>
      </c>
      <c r="E66" s="1">
        <v>1</v>
      </c>
      <c r="F66" s="1">
        <v>1</v>
      </c>
      <c r="G66" s="1">
        <v>0</v>
      </c>
      <c r="H66" s="1" t="s">
        <v>18</v>
      </c>
      <c r="J66" s="5" t="s">
        <v>144</v>
      </c>
      <c r="K66" s="6">
        <f>5/3</f>
        <v>1.6666666666666667</v>
      </c>
      <c r="L66" s="6">
        <f>15/3</f>
        <v>5</v>
      </c>
      <c r="M66" s="6">
        <f>3/3</f>
        <v>1</v>
      </c>
      <c r="N66" s="6">
        <v>0</v>
      </c>
      <c r="O66" s="6">
        <v>0</v>
      </c>
      <c r="P66" s="6">
        <v>3</v>
      </c>
      <c r="Q66" s="3" t="s">
        <v>131</v>
      </c>
    </row>
    <row r="67" spans="1:17" ht="22.5" customHeight="1" x14ac:dyDescent="0.25">
      <c r="B67" s="5" t="s">
        <v>149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 t="s">
        <v>18</v>
      </c>
      <c r="J67" s="5" t="s">
        <v>151</v>
      </c>
      <c r="K67" s="6">
        <f>9/6</f>
        <v>1.5</v>
      </c>
      <c r="L67" s="6">
        <f>24/6</f>
        <v>4</v>
      </c>
      <c r="M67" s="6">
        <f t="shared" ref="M67:N67" si="15">5/6</f>
        <v>0.83333333333333337</v>
      </c>
      <c r="N67" s="6">
        <f t="shared" si="15"/>
        <v>0.83333333333333337</v>
      </c>
      <c r="O67" s="6">
        <f>2/6</f>
        <v>0.33333333333333331</v>
      </c>
      <c r="P67" s="6">
        <v>6</v>
      </c>
      <c r="Q67" s="3" t="s">
        <v>132</v>
      </c>
    </row>
    <row r="68" spans="1:17" ht="22.5" customHeight="1" x14ac:dyDescent="0.25">
      <c r="B68" s="5" t="s">
        <v>150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 t="s">
        <v>18</v>
      </c>
      <c r="J68" s="5" t="s">
        <v>153</v>
      </c>
      <c r="K68" s="6">
        <f>4/3</f>
        <v>1.3333333333333333</v>
      </c>
      <c r="L68" s="6">
        <f>1/3</f>
        <v>0.33333333333333331</v>
      </c>
      <c r="M68" s="6">
        <v>0</v>
      </c>
      <c r="N68" s="6">
        <v>0</v>
      </c>
      <c r="O68" s="6">
        <v>0</v>
      </c>
      <c r="P68" s="6">
        <v>3</v>
      </c>
      <c r="Q68" s="3" t="s">
        <v>134</v>
      </c>
    </row>
    <row r="69" spans="1:17" ht="22.5" customHeight="1" x14ac:dyDescent="0.25">
      <c r="B69" s="5" t="s">
        <v>152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 t="s">
        <v>23</v>
      </c>
      <c r="I69" s="1" t="s">
        <v>37</v>
      </c>
      <c r="J69" s="3" t="s">
        <v>133</v>
      </c>
      <c r="K69" s="6">
        <f>5/4</f>
        <v>1.25</v>
      </c>
      <c r="L69" s="6">
        <f>10/3</f>
        <v>3.3333333333333335</v>
      </c>
      <c r="M69" s="6">
        <v>0</v>
      </c>
      <c r="N69" s="6">
        <v>0</v>
      </c>
      <c r="O69" s="6">
        <f>2/3</f>
        <v>0.66666666666666663</v>
      </c>
      <c r="P69" s="6">
        <v>4</v>
      </c>
      <c r="Q69" s="3" t="s">
        <v>141</v>
      </c>
    </row>
    <row r="70" spans="1:17" ht="22.5" customHeight="1" x14ac:dyDescent="0.25">
      <c r="B70" s="1" t="s">
        <v>28</v>
      </c>
      <c r="C70" s="1">
        <v>1</v>
      </c>
      <c r="D70" s="1">
        <v>3</v>
      </c>
      <c r="E70" s="1">
        <v>0</v>
      </c>
      <c r="F70" s="1">
        <v>0</v>
      </c>
      <c r="G70" s="1">
        <v>0</v>
      </c>
      <c r="H70" s="1" t="s">
        <v>18</v>
      </c>
      <c r="J70" s="5" t="s">
        <v>154</v>
      </c>
      <c r="K70" s="6">
        <v>1</v>
      </c>
      <c r="L70" s="6">
        <f>18/4</f>
        <v>4.5</v>
      </c>
      <c r="M70" s="6">
        <f>6/4</f>
        <v>1.5</v>
      </c>
      <c r="N70" s="6">
        <f>3/4</f>
        <v>0.75</v>
      </c>
      <c r="O70" s="6">
        <v>0</v>
      </c>
      <c r="P70" s="6">
        <v>4</v>
      </c>
      <c r="Q70" s="3" t="s">
        <v>131</v>
      </c>
    </row>
    <row r="71" spans="1:17" ht="22.5" customHeight="1" x14ac:dyDescent="0.25">
      <c r="B71" s="4" t="s">
        <v>44</v>
      </c>
      <c r="C71" s="1">
        <f t="shared" ref="C71:G71" si="16">SUM(C65:C70)</f>
        <v>11</v>
      </c>
      <c r="D71" s="1">
        <f t="shared" si="16"/>
        <v>18</v>
      </c>
      <c r="E71" s="1">
        <f t="shared" si="16"/>
        <v>1</v>
      </c>
      <c r="F71" s="1">
        <f t="shared" si="16"/>
        <v>1</v>
      </c>
      <c r="G71" s="1">
        <f t="shared" si="16"/>
        <v>0</v>
      </c>
      <c r="J71" s="3" t="s">
        <v>22</v>
      </c>
      <c r="K71" s="6">
        <v>1</v>
      </c>
      <c r="L71" s="6">
        <f>11/3</f>
        <v>3.6666666666666665</v>
      </c>
      <c r="M71" s="6">
        <v>1</v>
      </c>
      <c r="N71" s="6">
        <f t="shared" ref="N71:O71" si="17">1/3</f>
        <v>0.33333333333333331</v>
      </c>
      <c r="O71" s="6">
        <f t="shared" si="17"/>
        <v>0.33333333333333331</v>
      </c>
      <c r="P71" s="6">
        <v>3</v>
      </c>
      <c r="Q71" s="3" t="s">
        <v>18</v>
      </c>
    </row>
    <row r="72" spans="1:17" ht="22.5" customHeight="1" x14ac:dyDescent="0.25">
      <c r="J72" s="5" t="s">
        <v>149</v>
      </c>
      <c r="K72" s="6">
        <v>1</v>
      </c>
      <c r="L72" s="6">
        <f>7/3</f>
        <v>2.3333333333333335</v>
      </c>
      <c r="M72" s="6">
        <f t="shared" ref="M72:N72" si="18">1/3</f>
        <v>0.33333333333333331</v>
      </c>
      <c r="N72" s="6">
        <f t="shared" si="18"/>
        <v>0.33333333333333331</v>
      </c>
      <c r="O72" s="6">
        <v>0</v>
      </c>
      <c r="P72" s="6">
        <v>3</v>
      </c>
      <c r="Q72" s="3" t="s">
        <v>137</v>
      </c>
    </row>
    <row r="73" spans="1:17" ht="22.5" customHeight="1" x14ac:dyDescent="0.25">
      <c r="J73" s="3" t="s">
        <v>155</v>
      </c>
      <c r="K73" s="6">
        <f>6/6</f>
        <v>1</v>
      </c>
      <c r="L73" s="6">
        <f>7/6</f>
        <v>1.1666666666666667</v>
      </c>
      <c r="M73" s="6">
        <f>6/6</f>
        <v>1</v>
      </c>
      <c r="N73" s="6">
        <f>1/6</f>
        <v>0.16666666666666666</v>
      </c>
      <c r="O73" s="6">
        <v>0</v>
      </c>
      <c r="P73" s="6">
        <v>6</v>
      </c>
      <c r="Q73" s="3" t="s">
        <v>132</v>
      </c>
    </row>
    <row r="74" spans="1:17" ht="22.5" customHeight="1" x14ac:dyDescent="0.25">
      <c r="A74" s="1" t="s">
        <v>81</v>
      </c>
      <c r="B74" s="1" t="s">
        <v>25</v>
      </c>
      <c r="C74" s="1" t="s">
        <v>82</v>
      </c>
      <c r="D74" s="1" t="s">
        <v>28</v>
      </c>
      <c r="J74" s="3" t="s">
        <v>118</v>
      </c>
      <c r="K74" s="6">
        <f>3/4</f>
        <v>0.75</v>
      </c>
      <c r="L74" s="6">
        <f>15/3</f>
        <v>5</v>
      </c>
      <c r="M74" s="6">
        <f>1/3</f>
        <v>0.33333333333333331</v>
      </c>
      <c r="N74" s="6">
        <v>0</v>
      </c>
      <c r="O74" s="6">
        <f>2/3</f>
        <v>0.66666666666666663</v>
      </c>
      <c r="P74" s="6">
        <v>4</v>
      </c>
      <c r="Q74" s="3" t="s">
        <v>138</v>
      </c>
    </row>
    <row r="75" spans="1:17" ht="22.5" customHeight="1" x14ac:dyDescent="0.25">
      <c r="B75" s="1">
        <f>C62</f>
        <v>16</v>
      </c>
      <c r="D75" s="1">
        <f>C71</f>
        <v>11</v>
      </c>
      <c r="J75" s="5" t="s">
        <v>156</v>
      </c>
      <c r="K75" s="6">
        <f t="shared" ref="K75:K76" si="19">3/5</f>
        <v>0.6</v>
      </c>
      <c r="L75" s="6">
        <f>9/5</f>
        <v>1.8</v>
      </c>
      <c r="M75" s="6">
        <f>3/5</f>
        <v>0.6</v>
      </c>
      <c r="N75" s="6">
        <v>0</v>
      </c>
      <c r="O75" s="6">
        <v>0</v>
      </c>
      <c r="P75" s="6">
        <v>5</v>
      </c>
      <c r="Q75" s="3" t="s">
        <v>139</v>
      </c>
    </row>
    <row r="76" spans="1:17" ht="22.5" customHeight="1" x14ac:dyDescent="0.25">
      <c r="A76" s="1" t="s">
        <v>92</v>
      </c>
      <c r="B76" s="1" t="str">
        <f>IF(B75&gt;D75, "Team New O", "Team Tink")</f>
        <v>Team New O</v>
      </c>
      <c r="J76" s="5" t="s">
        <v>146</v>
      </c>
      <c r="K76" s="6">
        <f t="shared" si="19"/>
        <v>0.6</v>
      </c>
      <c r="L76" s="6">
        <f>7/5</f>
        <v>1.4</v>
      </c>
      <c r="M76" s="6">
        <v>1</v>
      </c>
      <c r="N76" s="6">
        <f>1/5</f>
        <v>0.2</v>
      </c>
      <c r="O76" s="6">
        <v>0</v>
      </c>
      <c r="P76" s="6">
        <v>5</v>
      </c>
      <c r="Q76" s="3" t="s">
        <v>23</v>
      </c>
    </row>
    <row r="77" spans="1:17" ht="22.5" customHeight="1" x14ac:dyDescent="0.25">
      <c r="J77" s="5" t="s">
        <v>158</v>
      </c>
      <c r="K77" s="6">
        <v>0.25</v>
      </c>
      <c r="L77" s="6">
        <v>1</v>
      </c>
      <c r="M77" s="6">
        <v>0</v>
      </c>
      <c r="N77" s="6">
        <v>0.25</v>
      </c>
      <c r="O77" s="6">
        <v>0</v>
      </c>
      <c r="P77" s="6">
        <v>4</v>
      </c>
      <c r="Q77" s="3" t="s">
        <v>131</v>
      </c>
    </row>
    <row r="78" spans="1:17" ht="22.5" customHeight="1" x14ac:dyDescent="0.25">
      <c r="A78" s="4" t="s">
        <v>157</v>
      </c>
      <c r="J78" s="5" t="s">
        <v>159</v>
      </c>
      <c r="K78" s="6">
        <f>1/5</f>
        <v>0.2</v>
      </c>
      <c r="L78" s="6">
        <f>17/5</f>
        <v>3.4</v>
      </c>
      <c r="M78" s="6">
        <f>4/5</f>
        <v>0.8</v>
      </c>
      <c r="N78" s="6">
        <f>1/5</f>
        <v>0.2</v>
      </c>
      <c r="O78" s="6">
        <v>0</v>
      </c>
      <c r="P78" s="6">
        <v>5</v>
      </c>
      <c r="Q78" s="3" t="s">
        <v>139</v>
      </c>
    </row>
    <row r="79" spans="1:17" ht="22.5" customHeight="1" x14ac:dyDescent="0.25">
      <c r="J79" s="5" t="s">
        <v>160</v>
      </c>
      <c r="K79" s="6">
        <v>0</v>
      </c>
      <c r="L79" s="6">
        <v>5</v>
      </c>
      <c r="M79" s="6">
        <f>5/4</f>
        <v>1.25</v>
      </c>
      <c r="N79" s="6">
        <v>0.25</v>
      </c>
      <c r="O79" s="6">
        <v>0.5</v>
      </c>
      <c r="P79" s="6">
        <v>4</v>
      </c>
      <c r="Q79" s="3" t="s">
        <v>131</v>
      </c>
    </row>
    <row r="80" spans="1:17" ht="22.5" customHeight="1" x14ac:dyDescent="0.25">
      <c r="A80" s="1" t="s">
        <v>66</v>
      </c>
      <c r="J80" s="3" t="s">
        <v>55</v>
      </c>
      <c r="K80" s="6">
        <v>0</v>
      </c>
      <c r="L80" s="6">
        <f>10/3</f>
        <v>3.3333333333333335</v>
      </c>
      <c r="M80" s="6">
        <f>2/3</f>
        <v>0.66666666666666663</v>
      </c>
      <c r="N80" s="6">
        <f t="shared" ref="N80:O80" si="20">1/3</f>
        <v>0.33333333333333331</v>
      </c>
      <c r="O80" s="6">
        <f t="shared" si="20"/>
        <v>0.33333333333333331</v>
      </c>
      <c r="P80" s="6">
        <v>3</v>
      </c>
      <c r="Q80" s="3" t="s">
        <v>142</v>
      </c>
    </row>
    <row r="81" spans="1:17" ht="22.5" customHeight="1" x14ac:dyDescent="0.25">
      <c r="B81" s="1" t="s">
        <v>3</v>
      </c>
      <c r="C81" s="1" t="s">
        <v>4</v>
      </c>
      <c r="D81" s="1" t="s">
        <v>5</v>
      </c>
      <c r="E81" s="1" t="s">
        <v>6</v>
      </c>
      <c r="F81" s="1" t="s">
        <v>7</v>
      </c>
      <c r="G81" s="1" t="s">
        <v>8</v>
      </c>
      <c r="I81" s="1" t="s">
        <v>37</v>
      </c>
      <c r="J81" s="3" t="s">
        <v>58</v>
      </c>
      <c r="K81" s="6">
        <v>0</v>
      </c>
      <c r="L81" s="6">
        <v>3</v>
      </c>
      <c r="M81" s="6">
        <v>0</v>
      </c>
      <c r="N81" s="6">
        <v>0</v>
      </c>
      <c r="O81" s="6">
        <v>0</v>
      </c>
      <c r="P81" s="6">
        <v>1</v>
      </c>
      <c r="Q81" s="6" t="s">
        <v>142</v>
      </c>
    </row>
    <row r="82" spans="1:17" ht="22.5" customHeight="1" x14ac:dyDescent="0.25">
      <c r="B82" s="5" t="s">
        <v>21</v>
      </c>
      <c r="C82" s="1">
        <v>5</v>
      </c>
      <c r="D82" s="1">
        <v>8</v>
      </c>
      <c r="E82" s="1">
        <v>1</v>
      </c>
      <c r="F82" s="1">
        <v>0</v>
      </c>
      <c r="G82" s="1">
        <v>2</v>
      </c>
      <c r="H82" s="1" t="s">
        <v>18</v>
      </c>
      <c r="I82" s="1" t="s">
        <v>37</v>
      </c>
      <c r="J82" s="5" t="s">
        <v>161</v>
      </c>
      <c r="K82" s="6">
        <v>0</v>
      </c>
      <c r="L82" s="6">
        <v>2</v>
      </c>
      <c r="M82" s="6">
        <v>1</v>
      </c>
      <c r="N82" s="6">
        <v>0</v>
      </c>
      <c r="O82" s="6">
        <v>0</v>
      </c>
      <c r="P82" s="6">
        <v>1</v>
      </c>
      <c r="Q82" s="6" t="s">
        <v>134</v>
      </c>
    </row>
    <row r="83" spans="1:17" ht="22.5" customHeight="1" x14ac:dyDescent="0.25">
      <c r="B83" s="5" t="s">
        <v>16</v>
      </c>
      <c r="C83" s="1">
        <v>8</v>
      </c>
      <c r="D83" s="1">
        <v>4</v>
      </c>
      <c r="E83" s="1">
        <v>3</v>
      </c>
      <c r="F83" s="1">
        <v>0</v>
      </c>
      <c r="G83" s="1">
        <v>0</v>
      </c>
      <c r="H83" s="1" t="s">
        <v>18</v>
      </c>
      <c r="I83" s="1" t="s">
        <v>37</v>
      </c>
      <c r="J83" s="5" t="s">
        <v>162</v>
      </c>
      <c r="K83" s="6">
        <v>0</v>
      </c>
      <c r="L83" s="6">
        <f>7/5</f>
        <v>1.4</v>
      </c>
      <c r="M83" s="6">
        <f>2/5</f>
        <v>0.4</v>
      </c>
      <c r="N83" s="6">
        <v>0</v>
      </c>
      <c r="O83" s="6">
        <v>0</v>
      </c>
      <c r="P83" s="6">
        <v>5</v>
      </c>
      <c r="Q83" s="3" t="s">
        <v>139</v>
      </c>
    </row>
    <row r="84" spans="1:17" ht="22.5" customHeight="1" x14ac:dyDescent="0.25">
      <c r="B84" s="5" t="s">
        <v>151</v>
      </c>
      <c r="C84" s="1">
        <v>1</v>
      </c>
      <c r="D84" s="1">
        <v>3</v>
      </c>
      <c r="E84" s="1">
        <v>0</v>
      </c>
      <c r="F84" s="1">
        <v>0</v>
      </c>
      <c r="G84" s="1">
        <v>1</v>
      </c>
      <c r="H84" s="1" t="s">
        <v>18</v>
      </c>
      <c r="J84" s="5" t="s">
        <v>147</v>
      </c>
      <c r="K84" s="6">
        <v>0</v>
      </c>
      <c r="L84" s="6">
        <v>1</v>
      </c>
      <c r="M84" s="6">
        <v>0.33</v>
      </c>
      <c r="N84" s="6">
        <v>0.33</v>
      </c>
      <c r="O84" s="6">
        <v>0</v>
      </c>
      <c r="P84" s="6">
        <v>3</v>
      </c>
      <c r="Q84" s="6" t="s">
        <v>23</v>
      </c>
    </row>
    <row r="85" spans="1:17" ht="22.5" customHeight="1" x14ac:dyDescent="0.25">
      <c r="B85" s="5" t="s">
        <v>163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">
        <v>23</v>
      </c>
      <c r="J85" s="5" t="s">
        <v>152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2</v>
      </c>
      <c r="Q85" s="6" t="s">
        <v>137</v>
      </c>
    </row>
    <row r="86" spans="1:17" ht="22.5" customHeight="1" x14ac:dyDescent="0.25">
      <c r="B86" s="5" t="s">
        <v>164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 t="s">
        <v>23</v>
      </c>
      <c r="J86" s="3" t="s">
        <v>54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1</v>
      </c>
      <c r="Q86" s="3" t="s">
        <v>142</v>
      </c>
    </row>
    <row r="87" spans="1:17" ht="22.5" customHeight="1" x14ac:dyDescent="0.25">
      <c r="B87" s="5" t="s">
        <v>165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">
        <v>23</v>
      </c>
      <c r="J87" s="3" t="s">
        <v>65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1</v>
      </c>
      <c r="Q87" s="3" t="s">
        <v>142</v>
      </c>
    </row>
    <row r="88" spans="1:17" ht="22.5" customHeight="1" x14ac:dyDescent="0.25">
      <c r="B88" s="1" t="s">
        <v>155</v>
      </c>
      <c r="C88" s="1">
        <v>2</v>
      </c>
      <c r="D88" s="1">
        <v>1</v>
      </c>
      <c r="E88" s="1">
        <v>1</v>
      </c>
      <c r="F88" s="1">
        <v>0</v>
      </c>
      <c r="G88" s="1">
        <v>0</v>
      </c>
      <c r="H88" s="1" t="s">
        <v>18</v>
      </c>
      <c r="J88" s="3" t="s">
        <v>124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1</v>
      </c>
      <c r="Q88" s="3" t="s">
        <v>138</v>
      </c>
    </row>
    <row r="89" spans="1:17" ht="22.5" customHeight="1" x14ac:dyDescent="0.25">
      <c r="B89" s="4" t="s">
        <v>44</v>
      </c>
      <c r="C89" s="1">
        <f>SUM(C82:C88)</f>
        <v>16</v>
      </c>
      <c r="D89" s="1">
        <f>SUM(D82:D87)</f>
        <v>15</v>
      </c>
      <c r="E89" s="1">
        <f>SUM(E82:E86)</f>
        <v>4</v>
      </c>
      <c r="F89" s="1">
        <f>SUM(F82:F87)</f>
        <v>0</v>
      </c>
      <c r="G89" s="1">
        <f>SUM(G82:G86)</f>
        <v>3</v>
      </c>
      <c r="J89" s="5" t="s">
        <v>163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1</v>
      </c>
      <c r="Q89" s="6" t="s">
        <v>132</v>
      </c>
    </row>
    <row r="90" spans="1:17" ht="22.5" customHeight="1" x14ac:dyDescent="0.25">
      <c r="A90" s="1" t="s">
        <v>87</v>
      </c>
      <c r="J90" s="5" t="s">
        <v>150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 t="s">
        <v>137</v>
      </c>
    </row>
    <row r="91" spans="1:17" ht="22.5" customHeight="1" x14ac:dyDescent="0.25">
      <c r="B91" s="1" t="s">
        <v>3</v>
      </c>
      <c r="C91" s="1" t="s">
        <v>4</v>
      </c>
      <c r="D91" s="1" t="s">
        <v>5</v>
      </c>
      <c r="E91" s="1" t="s">
        <v>6</v>
      </c>
      <c r="F91" s="1" t="s">
        <v>7</v>
      </c>
      <c r="G91" s="1" t="s">
        <v>8</v>
      </c>
      <c r="I91" s="1" t="s">
        <v>37</v>
      </c>
      <c r="J91" s="3" t="s">
        <v>33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</v>
      </c>
      <c r="Q91" s="6" t="s">
        <v>18</v>
      </c>
    </row>
    <row r="92" spans="1:17" ht="22.5" customHeight="1" x14ac:dyDescent="0.25">
      <c r="B92" s="5" t="s">
        <v>39</v>
      </c>
      <c r="C92" s="1">
        <v>2</v>
      </c>
      <c r="D92" s="1">
        <v>3</v>
      </c>
      <c r="E92" s="1">
        <v>0</v>
      </c>
      <c r="F92" s="1">
        <v>1</v>
      </c>
      <c r="G92" s="1">
        <v>0</v>
      </c>
      <c r="H92" s="1" t="s">
        <v>18</v>
      </c>
      <c r="I92" s="1" t="s">
        <v>37</v>
      </c>
      <c r="J92" s="5" t="s">
        <v>166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  <c r="Q92" s="6" t="s">
        <v>131</v>
      </c>
    </row>
    <row r="93" spans="1:17" ht="22.5" customHeight="1" x14ac:dyDescent="0.25">
      <c r="B93" s="5" t="s">
        <v>127</v>
      </c>
      <c r="C93" s="1">
        <v>2</v>
      </c>
      <c r="D93" s="1">
        <v>4</v>
      </c>
      <c r="E93" s="1">
        <v>0</v>
      </c>
      <c r="F93" s="1">
        <v>3</v>
      </c>
      <c r="G93" s="1">
        <v>0</v>
      </c>
      <c r="H93" s="1" t="s">
        <v>18</v>
      </c>
      <c r="J93" s="3" t="s">
        <v>125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 t="s">
        <v>138</v>
      </c>
    </row>
    <row r="94" spans="1:17" ht="22.5" customHeight="1" x14ac:dyDescent="0.25">
      <c r="B94" s="5" t="s">
        <v>160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 t="s">
        <v>18</v>
      </c>
      <c r="J94" s="3" t="s">
        <v>135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 t="s">
        <v>141</v>
      </c>
    </row>
    <row r="95" spans="1:17" ht="22.5" customHeight="1" x14ac:dyDescent="0.25">
      <c r="B95" s="5" t="s">
        <v>158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">
        <v>23</v>
      </c>
      <c r="J95" s="5" t="s">
        <v>167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 t="s">
        <v>139</v>
      </c>
    </row>
    <row r="96" spans="1:17" ht="22.5" customHeight="1" x14ac:dyDescent="0.25">
      <c r="B96" s="5" t="s">
        <v>166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 t="s">
        <v>18</v>
      </c>
      <c r="I96" s="1" t="s">
        <v>37</v>
      </c>
      <c r="J96" s="5" t="s">
        <v>164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 t="s">
        <v>132</v>
      </c>
    </row>
    <row r="97" spans="1:17" ht="22.5" customHeight="1" x14ac:dyDescent="0.25">
      <c r="B97" s="5" t="s">
        <v>154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 t="s">
        <v>18</v>
      </c>
      <c r="J97" s="3" t="s">
        <v>136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 t="s">
        <v>141</v>
      </c>
    </row>
    <row r="98" spans="1:17" ht="22.5" customHeight="1" x14ac:dyDescent="0.25">
      <c r="B98" s="4" t="s">
        <v>44</v>
      </c>
      <c r="C98" s="1">
        <f t="shared" ref="C98:G98" si="21">SUM(C92:C97)</f>
        <v>4</v>
      </c>
      <c r="D98" s="1">
        <f t="shared" si="21"/>
        <v>7</v>
      </c>
      <c r="E98" s="1">
        <f t="shared" si="21"/>
        <v>1</v>
      </c>
      <c r="F98" s="1">
        <f t="shared" si="21"/>
        <v>4</v>
      </c>
      <c r="G98" s="1">
        <f t="shared" si="21"/>
        <v>0</v>
      </c>
      <c r="J98" s="3" t="s">
        <v>29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 t="s">
        <v>18</v>
      </c>
    </row>
    <row r="99" spans="1:17" ht="22.5" customHeight="1" x14ac:dyDescent="0.25">
      <c r="J99" s="5" t="s">
        <v>165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 t="s">
        <v>132</v>
      </c>
    </row>
    <row r="100" spans="1:17" ht="13.2" x14ac:dyDescent="0.25">
      <c r="A100" s="1" t="s">
        <v>81</v>
      </c>
      <c r="B100" s="1" t="s">
        <v>45</v>
      </c>
      <c r="C100" s="1" t="s">
        <v>82</v>
      </c>
      <c r="D100" s="1" t="s">
        <v>41</v>
      </c>
    </row>
    <row r="101" spans="1:17" ht="13.2" x14ac:dyDescent="0.25">
      <c r="B101" s="1">
        <f>C89</f>
        <v>16</v>
      </c>
      <c r="D101" s="1">
        <f>C98</f>
        <v>4</v>
      </c>
    </row>
    <row r="102" spans="1:17" ht="15.75" customHeight="1" x14ac:dyDescent="0.25">
      <c r="A102" s="1" t="s">
        <v>92</v>
      </c>
      <c r="B102" s="1" t="str">
        <f>IF(B101&gt;D101, "Team Grit", "Team Flannel Bong")</f>
        <v>Team Grit</v>
      </c>
    </row>
    <row r="103" spans="1:17" ht="13.2" x14ac:dyDescent="0.25"/>
    <row r="104" spans="1:17" ht="15.75" customHeight="1" x14ac:dyDescent="0.25">
      <c r="A104" s="4" t="s">
        <v>168</v>
      </c>
    </row>
    <row r="105" spans="1:17" ht="13.2" x14ac:dyDescent="0.25"/>
    <row r="106" spans="1:17" ht="13.2" x14ac:dyDescent="0.25">
      <c r="A106" s="1" t="s">
        <v>68</v>
      </c>
    </row>
    <row r="107" spans="1:17" ht="13.2" x14ac:dyDescent="0.25">
      <c r="B107" s="1" t="s">
        <v>3</v>
      </c>
      <c r="C107" s="1" t="s">
        <v>4</v>
      </c>
      <c r="D107" s="1" t="s">
        <v>5</v>
      </c>
      <c r="E107" s="1" t="s">
        <v>6</v>
      </c>
      <c r="F107" s="1" t="s">
        <v>7</v>
      </c>
      <c r="G107" s="1" t="s">
        <v>8</v>
      </c>
      <c r="I107" s="1" t="s">
        <v>37</v>
      </c>
    </row>
    <row r="108" spans="1:17" ht="13.2" x14ac:dyDescent="0.25">
      <c r="B108" s="5" t="s">
        <v>145</v>
      </c>
      <c r="C108" s="1">
        <v>3</v>
      </c>
      <c r="D108" s="1">
        <v>4</v>
      </c>
      <c r="E108" s="1">
        <v>0</v>
      </c>
      <c r="F108" s="1">
        <v>0</v>
      </c>
      <c r="G108" s="1">
        <v>1</v>
      </c>
      <c r="I108" s="1" t="s">
        <v>37</v>
      </c>
    </row>
    <row r="109" spans="1:17" ht="13.2" x14ac:dyDescent="0.25">
      <c r="B109" s="5" t="s">
        <v>119</v>
      </c>
      <c r="C109" s="1">
        <v>6</v>
      </c>
      <c r="D109" s="1">
        <v>10</v>
      </c>
      <c r="E109" s="1">
        <v>2</v>
      </c>
      <c r="F109" s="1">
        <v>1</v>
      </c>
      <c r="G109" s="1">
        <v>0</v>
      </c>
    </row>
    <row r="110" spans="1:17" ht="13.2" x14ac:dyDescent="0.25">
      <c r="B110" s="5" t="s">
        <v>43</v>
      </c>
      <c r="C110" s="1">
        <v>2</v>
      </c>
      <c r="D110" s="1">
        <v>4</v>
      </c>
      <c r="E110" s="1">
        <v>0</v>
      </c>
      <c r="F110" s="1">
        <v>0</v>
      </c>
      <c r="G110" s="1">
        <v>0</v>
      </c>
    </row>
    <row r="111" spans="1:17" ht="13.2" x14ac:dyDescent="0.25">
      <c r="B111" s="5" t="s">
        <v>153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</row>
    <row r="112" spans="1:17" ht="13.2" x14ac:dyDescent="0.25">
      <c r="B112" s="5" t="s">
        <v>161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I112" s="1" t="s">
        <v>37</v>
      </c>
    </row>
    <row r="113" spans="1:9" ht="13.2" x14ac:dyDescent="0.25">
      <c r="B113" s="5" t="s">
        <v>49</v>
      </c>
      <c r="C113" s="1">
        <v>3</v>
      </c>
      <c r="D113" s="1">
        <v>7</v>
      </c>
      <c r="E113" s="1">
        <v>2</v>
      </c>
      <c r="F113" s="1">
        <v>0</v>
      </c>
      <c r="G113" s="1">
        <v>0</v>
      </c>
    </row>
    <row r="114" spans="1:9" ht="13.2" x14ac:dyDescent="0.25">
      <c r="B114" s="4" t="s">
        <v>44</v>
      </c>
      <c r="C114" s="1">
        <f t="shared" ref="C114:D114" si="22">SUM(C108:C113)</f>
        <v>16</v>
      </c>
      <c r="D114" s="1">
        <f t="shared" si="22"/>
        <v>25</v>
      </c>
      <c r="E114" s="1">
        <f>SUM(E108:E112)</f>
        <v>2</v>
      </c>
      <c r="F114" s="1">
        <f>SUM(F108:F113)</f>
        <v>1</v>
      </c>
      <c r="G114" s="1">
        <f>SUM(G108:G112)</f>
        <v>1</v>
      </c>
    </row>
    <row r="115" spans="1:9" ht="13.2" x14ac:dyDescent="0.25">
      <c r="A115" s="1" t="s">
        <v>71</v>
      </c>
    </row>
    <row r="116" spans="1:9" ht="13.2" x14ac:dyDescent="0.25">
      <c r="B116" s="1" t="s">
        <v>3</v>
      </c>
      <c r="C116" s="1" t="s">
        <v>4</v>
      </c>
      <c r="D116" s="1" t="s">
        <v>5</v>
      </c>
      <c r="E116" s="1" t="s">
        <v>6</v>
      </c>
      <c r="F116" s="1" t="s">
        <v>7</v>
      </c>
      <c r="G116" s="1" t="s">
        <v>8</v>
      </c>
      <c r="I116" s="1" t="s">
        <v>37</v>
      </c>
    </row>
    <row r="117" spans="1:9" ht="13.2" x14ac:dyDescent="0.25">
      <c r="B117" s="5" t="s">
        <v>159</v>
      </c>
      <c r="C117" s="1">
        <v>0</v>
      </c>
      <c r="D117" s="1">
        <v>6</v>
      </c>
      <c r="E117" s="1">
        <v>2</v>
      </c>
      <c r="F117" s="1">
        <v>1</v>
      </c>
      <c r="G117" s="1">
        <v>0</v>
      </c>
      <c r="I117" s="1" t="s">
        <v>37</v>
      </c>
    </row>
    <row r="118" spans="1:9" ht="13.2" x14ac:dyDescent="0.25">
      <c r="B118" s="5" t="s">
        <v>140</v>
      </c>
      <c r="C118" s="1">
        <v>3</v>
      </c>
      <c r="D118" s="1">
        <v>6</v>
      </c>
      <c r="E118" s="1">
        <v>1</v>
      </c>
      <c r="F118" s="1">
        <v>0</v>
      </c>
      <c r="G118" s="1">
        <v>0</v>
      </c>
    </row>
    <row r="119" spans="1:9" ht="13.2" x14ac:dyDescent="0.25">
      <c r="B119" s="5" t="s">
        <v>167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</row>
    <row r="120" spans="1:9" ht="13.2" x14ac:dyDescent="0.25">
      <c r="B120" s="5" t="s">
        <v>156</v>
      </c>
      <c r="C120" s="1">
        <v>0</v>
      </c>
      <c r="D120" s="1">
        <v>3</v>
      </c>
      <c r="E120" s="1">
        <v>0</v>
      </c>
      <c r="F120" s="1">
        <v>0</v>
      </c>
      <c r="G120" s="1">
        <v>0</v>
      </c>
    </row>
    <row r="121" spans="1:9" ht="13.2" x14ac:dyDescent="0.25">
      <c r="B121" s="5" t="s">
        <v>162</v>
      </c>
      <c r="C121" s="1">
        <v>0</v>
      </c>
      <c r="D121" s="1">
        <v>1</v>
      </c>
      <c r="E121" s="1">
        <v>1</v>
      </c>
      <c r="F121" s="1">
        <v>0</v>
      </c>
      <c r="G121" s="1">
        <v>0</v>
      </c>
      <c r="I121" s="1" t="s">
        <v>37</v>
      </c>
    </row>
    <row r="122" spans="1:9" ht="13.2" x14ac:dyDescent="0.25">
      <c r="B122" s="5" t="s">
        <v>121</v>
      </c>
      <c r="C122" s="1">
        <v>11</v>
      </c>
      <c r="D122" s="1">
        <v>3</v>
      </c>
      <c r="E122" s="1">
        <v>0</v>
      </c>
      <c r="F122" s="1">
        <v>1</v>
      </c>
      <c r="G122" s="1">
        <v>1</v>
      </c>
    </row>
    <row r="123" spans="1:9" ht="15.75" customHeight="1" x14ac:dyDescent="0.25">
      <c r="B123" s="4" t="s">
        <v>44</v>
      </c>
      <c r="C123" s="1">
        <f t="shared" ref="C123:G123" si="23">SUM(C117:C122)</f>
        <v>14</v>
      </c>
      <c r="D123" s="1">
        <f t="shared" si="23"/>
        <v>19</v>
      </c>
      <c r="E123" s="1">
        <f t="shared" si="23"/>
        <v>4</v>
      </c>
      <c r="F123" s="1">
        <f t="shared" si="23"/>
        <v>2</v>
      </c>
      <c r="G123" s="1">
        <f t="shared" si="23"/>
        <v>1</v>
      </c>
    </row>
    <row r="124" spans="1:9" ht="13.2" x14ac:dyDescent="0.25"/>
    <row r="125" spans="1:9" ht="13.2" x14ac:dyDescent="0.25">
      <c r="A125" s="1" t="s">
        <v>81</v>
      </c>
      <c r="B125" s="1" t="s">
        <v>49</v>
      </c>
      <c r="C125" s="1" t="s">
        <v>82</v>
      </c>
      <c r="D125" s="1" t="s">
        <v>51</v>
      </c>
    </row>
    <row r="126" spans="1:9" ht="13.2" x14ac:dyDescent="0.25">
      <c r="B126" s="1">
        <f>C114</f>
        <v>16</v>
      </c>
      <c r="D126" s="1">
        <f>C123</f>
        <v>14</v>
      </c>
    </row>
    <row r="127" spans="1:9" ht="15.75" customHeight="1" x14ac:dyDescent="0.25">
      <c r="A127" s="1" t="s">
        <v>92</v>
      </c>
      <c r="B127" s="1" t="str">
        <f>IF(B126&gt;D126, "Team Big O", "Team Nasty")</f>
        <v>Team Big O</v>
      </c>
    </row>
    <row r="131" spans="1:9" ht="13.2" x14ac:dyDescent="0.25"/>
    <row r="132" spans="1:9" ht="15.75" customHeight="1" x14ac:dyDescent="0.25">
      <c r="A132" s="4" t="s">
        <v>61</v>
      </c>
    </row>
    <row r="133" spans="1:9" ht="13.2" x14ac:dyDescent="0.25"/>
    <row r="134" spans="1:9" ht="15.75" customHeight="1" x14ac:dyDescent="0.25">
      <c r="A134" s="4" t="s">
        <v>74</v>
      </c>
    </row>
    <row r="135" spans="1:9" ht="13.2" x14ac:dyDescent="0.25"/>
    <row r="136" spans="1:9" ht="13.2" x14ac:dyDescent="0.25">
      <c r="A136" s="4" t="s">
        <v>169</v>
      </c>
    </row>
    <row r="137" spans="1:9" ht="13.2" x14ac:dyDescent="0.25">
      <c r="B137" s="1" t="s">
        <v>3</v>
      </c>
      <c r="C137" s="1" t="s">
        <v>4</v>
      </c>
      <c r="D137" s="1" t="s">
        <v>5</v>
      </c>
      <c r="E137" s="1" t="s">
        <v>6</v>
      </c>
      <c r="F137" s="1" t="s">
        <v>170</v>
      </c>
      <c r="G137" s="1" t="s">
        <v>8</v>
      </c>
      <c r="I137" s="1" t="s">
        <v>37</v>
      </c>
    </row>
    <row r="138" spans="1:9" ht="13.2" x14ac:dyDescent="0.25">
      <c r="B138" s="1" t="s">
        <v>24</v>
      </c>
      <c r="C138" s="1">
        <v>3</v>
      </c>
      <c r="D138" s="1">
        <v>4</v>
      </c>
      <c r="E138" s="1">
        <v>2</v>
      </c>
      <c r="F138" s="1">
        <v>1</v>
      </c>
    </row>
    <row r="139" spans="1:9" ht="13.2" x14ac:dyDescent="0.25">
      <c r="B139" s="1" t="s">
        <v>118</v>
      </c>
      <c r="C139" s="1">
        <v>1</v>
      </c>
      <c r="D139" s="1">
        <v>4</v>
      </c>
      <c r="F139" s="1">
        <v>2</v>
      </c>
      <c r="I139" s="1" t="s">
        <v>37</v>
      </c>
    </row>
    <row r="140" spans="1:9" ht="13.2" x14ac:dyDescent="0.25">
      <c r="B140" s="1" t="s">
        <v>113</v>
      </c>
      <c r="C140" s="1">
        <v>6</v>
      </c>
      <c r="D140" s="1">
        <v>1</v>
      </c>
      <c r="F140" s="1">
        <v>1</v>
      </c>
      <c r="I140" s="1" t="s">
        <v>37</v>
      </c>
    </row>
    <row r="141" spans="1:9" ht="13.2" x14ac:dyDescent="0.25">
      <c r="B141" s="1" t="s">
        <v>120</v>
      </c>
      <c r="C141" s="1">
        <v>6</v>
      </c>
      <c r="D141" s="1">
        <v>1</v>
      </c>
    </row>
    <row r="142" spans="1:9" ht="13.2" x14ac:dyDescent="0.25">
      <c r="B142" s="1" t="s">
        <v>171</v>
      </c>
      <c r="E142" s="1">
        <v>1</v>
      </c>
    </row>
    <row r="143" spans="1:9" ht="15.75" customHeight="1" x14ac:dyDescent="0.25">
      <c r="B143" s="1" t="s">
        <v>125</v>
      </c>
    </row>
    <row r="144" spans="1:9" ht="13.2" x14ac:dyDescent="0.25"/>
    <row r="145" spans="1:9" ht="13.2" x14ac:dyDescent="0.25">
      <c r="A145" s="4" t="s">
        <v>172</v>
      </c>
    </row>
    <row r="146" spans="1:9" ht="13.2" x14ac:dyDescent="0.25">
      <c r="B146" s="1" t="s">
        <v>3</v>
      </c>
      <c r="C146" s="1" t="s">
        <v>4</v>
      </c>
      <c r="D146" s="1" t="s">
        <v>173</v>
      </c>
      <c r="E146" s="1" t="s">
        <v>174</v>
      </c>
      <c r="F146" s="1" t="s">
        <v>170</v>
      </c>
      <c r="I146" s="1" t="s">
        <v>37</v>
      </c>
    </row>
    <row r="147" spans="1:9" ht="13.2" x14ac:dyDescent="0.25">
      <c r="B147" s="1" t="s">
        <v>67</v>
      </c>
      <c r="C147" s="1">
        <v>3</v>
      </c>
      <c r="F147" s="1">
        <v>1</v>
      </c>
      <c r="G147" s="1">
        <v>1</v>
      </c>
      <c r="I147" s="1" t="s">
        <v>37</v>
      </c>
    </row>
    <row r="148" spans="1:9" ht="13.2" x14ac:dyDescent="0.25">
      <c r="B148" s="1" t="s">
        <v>53</v>
      </c>
      <c r="C148" s="1">
        <v>1</v>
      </c>
      <c r="D148" s="1">
        <v>5</v>
      </c>
      <c r="E148" s="1">
        <v>1</v>
      </c>
    </row>
    <row r="149" spans="1:9" ht="13.2" x14ac:dyDescent="0.25">
      <c r="B149" s="1" t="s">
        <v>54</v>
      </c>
    </row>
    <row r="150" spans="1:9" ht="13.2" x14ac:dyDescent="0.25">
      <c r="B150" s="1" t="s">
        <v>58</v>
      </c>
    </row>
    <row r="151" spans="1:9" ht="13.2" x14ac:dyDescent="0.25">
      <c r="B151" s="1" t="s">
        <v>65</v>
      </c>
      <c r="I151" s="1" t="s">
        <v>37</v>
      </c>
    </row>
    <row r="152" spans="1:9" ht="15.75" customHeight="1" x14ac:dyDescent="0.25">
      <c r="B152" s="1" t="s">
        <v>55</v>
      </c>
      <c r="D152" s="1">
        <v>2</v>
      </c>
      <c r="E152" s="1">
        <v>2</v>
      </c>
    </row>
    <row r="155" spans="1:9" ht="13.2" x14ac:dyDescent="0.25"/>
    <row r="156" spans="1:9" ht="15.75" customHeight="1" x14ac:dyDescent="0.25">
      <c r="B156" s="1" t="s">
        <v>175</v>
      </c>
      <c r="C156" s="1" t="s">
        <v>176</v>
      </c>
    </row>
    <row r="157" spans="1:9" ht="13.2" x14ac:dyDescent="0.25"/>
    <row r="158" spans="1:9" ht="13.2" x14ac:dyDescent="0.25">
      <c r="A158" s="1" t="s">
        <v>71</v>
      </c>
    </row>
    <row r="159" spans="1:9" ht="13.2" x14ac:dyDescent="0.25">
      <c r="B159" s="1" t="s">
        <v>3</v>
      </c>
      <c r="C159" s="1" t="s">
        <v>4</v>
      </c>
      <c r="D159" s="1" t="s">
        <v>5</v>
      </c>
      <c r="E159" s="1" t="s">
        <v>6</v>
      </c>
      <c r="F159" s="1" t="s">
        <v>7</v>
      </c>
      <c r="G159" s="1" t="s">
        <v>8</v>
      </c>
    </row>
    <row r="160" spans="1:9" ht="13.2" x14ac:dyDescent="0.25">
      <c r="B160" s="5" t="s">
        <v>159</v>
      </c>
      <c r="C160" s="1">
        <v>1</v>
      </c>
      <c r="D160" s="1">
        <v>3</v>
      </c>
      <c r="E160" s="1">
        <v>0</v>
      </c>
      <c r="F160" s="1">
        <v>0</v>
      </c>
      <c r="G160" s="1">
        <v>0</v>
      </c>
      <c r="H160" s="1" t="s">
        <v>18</v>
      </c>
      <c r="I160" s="1" t="s">
        <v>37</v>
      </c>
    </row>
    <row r="161" spans="1:9" ht="13.2" x14ac:dyDescent="0.25">
      <c r="B161" s="5" t="s">
        <v>140</v>
      </c>
      <c r="C161" s="1">
        <v>2</v>
      </c>
      <c r="D161" s="1">
        <v>5</v>
      </c>
      <c r="E161" s="1">
        <v>2</v>
      </c>
      <c r="F161" s="1">
        <v>0</v>
      </c>
      <c r="G161" s="1">
        <v>0</v>
      </c>
      <c r="H161" s="1" t="s">
        <v>18</v>
      </c>
    </row>
    <row r="162" spans="1:9" ht="13.2" x14ac:dyDescent="0.25">
      <c r="B162" s="5" t="s">
        <v>167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 t="s">
        <v>23</v>
      </c>
      <c r="I162" s="1" t="s">
        <v>37</v>
      </c>
    </row>
    <row r="163" spans="1:9" ht="13.2" x14ac:dyDescent="0.25">
      <c r="B163" s="5" t="s">
        <v>156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 t="s">
        <v>18</v>
      </c>
    </row>
    <row r="164" spans="1:9" ht="13.2" x14ac:dyDescent="0.25">
      <c r="B164" s="5" t="s">
        <v>162</v>
      </c>
      <c r="C164" s="1">
        <v>0</v>
      </c>
      <c r="D164" s="1">
        <v>2</v>
      </c>
      <c r="E164" s="1">
        <v>0</v>
      </c>
      <c r="F164" s="1">
        <v>0</v>
      </c>
      <c r="G164" s="1">
        <v>0</v>
      </c>
      <c r="H164" s="1" t="s">
        <v>18</v>
      </c>
      <c r="I164" s="1" t="s">
        <v>37</v>
      </c>
    </row>
    <row r="165" spans="1:9" ht="13.2" x14ac:dyDescent="0.25">
      <c r="B165" s="5" t="s">
        <v>121</v>
      </c>
      <c r="C165" s="1">
        <v>5</v>
      </c>
      <c r="D165" s="1">
        <v>3</v>
      </c>
      <c r="E165" s="1">
        <v>0</v>
      </c>
      <c r="F165" s="1">
        <v>1</v>
      </c>
      <c r="G165" s="1">
        <v>0</v>
      </c>
      <c r="H165" s="1" t="s">
        <v>18</v>
      </c>
    </row>
    <row r="166" spans="1:9" ht="13.2" x14ac:dyDescent="0.25">
      <c r="B166" s="4" t="s">
        <v>44</v>
      </c>
      <c r="C166" s="1">
        <f t="shared" ref="C166:D166" si="24">SUM(C160:C165)</f>
        <v>8</v>
      </c>
      <c r="D166" s="1">
        <f t="shared" si="24"/>
        <v>13</v>
      </c>
      <c r="E166" s="1">
        <f>SUM(E160:E164)</f>
        <v>2</v>
      </c>
      <c r="F166" s="1">
        <f>SUM(F160:F165)</f>
        <v>1</v>
      </c>
      <c r="G166" s="1">
        <f>SUM(G160:G164)</f>
        <v>0</v>
      </c>
    </row>
    <row r="167" spans="1:9" ht="13.2" x14ac:dyDescent="0.25">
      <c r="A167" s="1" t="s">
        <v>88</v>
      </c>
    </row>
    <row r="168" spans="1:9" ht="13.2" x14ac:dyDescent="0.25">
      <c r="B168" s="1" t="s">
        <v>3</v>
      </c>
      <c r="C168" s="1" t="s">
        <v>4</v>
      </c>
      <c r="D168" s="1" t="s">
        <v>5</v>
      </c>
      <c r="E168" s="1" t="s">
        <v>6</v>
      </c>
      <c r="F168" s="1" t="s">
        <v>7</v>
      </c>
      <c r="G168" s="1" t="s">
        <v>8</v>
      </c>
      <c r="I168" s="1" t="s">
        <v>37</v>
      </c>
    </row>
    <row r="169" spans="1:9" ht="13.2" x14ac:dyDescent="0.25">
      <c r="B169" s="5" t="s">
        <v>143</v>
      </c>
      <c r="C169" s="1">
        <v>2</v>
      </c>
      <c r="D169" s="1">
        <v>2</v>
      </c>
      <c r="E169" s="1">
        <v>1</v>
      </c>
      <c r="F169" s="1">
        <v>0</v>
      </c>
      <c r="G169" s="1">
        <v>0</v>
      </c>
      <c r="H169" s="1" t="s">
        <v>18</v>
      </c>
      <c r="I169" s="1" t="s">
        <v>37</v>
      </c>
    </row>
    <row r="170" spans="1:9" ht="13.2" x14ac:dyDescent="0.25">
      <c r="B170" s="5" t="s">
        <v>148</v>
      </c>
      <c r="C170" s="1">
        <v>2</v>
      </c>
      <c r="D170" s="1">
        <v>1</v>
      </c>
      <c r="E170" s="1">
        <v>2</v>
      </c>
      <c r="F170" s="1">
        <v>2</v>
      </c>
      <c r="G170" s="1">
        <v>0</v>
      </c>
      <c r="H170" s="1" t="s">
        <v>18</v>
      </c>
    </row>
    <row r="171" spans="1:9" ht="13.2" x14ac:dyDescent="0.25">
      <c r="B171" s="5" t="s">
        <v>149</v>
      </c>
      <c r="C171" s="1">
        <v>2</v>
      </c>
      <c r="D171" s="1">
        <v>4</v>
      </c>
      <c r="E171" s="1">
        <v>0</v>
      </c>
      <c r="F171" s="1">
        <v>0</v>
      </c>
      <c r="G171" s="1">
        <v>0</v>
      </c>
      <c r="H171" s="1" t="s">
        <v>18</v>
      </c>
    </row>
    <row r="172" spans="1:9" ht="13.2" x14ac:dyDescent="0.25">
      <c r="B172" s="5" t="s">
        <v>150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 t="s">
        <v>23</v>
      </c>
    </row>
    <row r="173" spans="1:9" ht="13.2" x14ac:dyDescent="0.25">
      <c r="B173" s="5" t="s">
        <v>152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 t="s">
        <v>18</v>
      </c>
      <c r="I173" s="1" t="s">
        <v>37</v>
      </c>
    </row>
    <row r="174" spans="1:9" ht="13.2" x14ac:dyDescent="0.25">
      <c r="B174" s="1" t="s">
        <v>28</v>
      </c>
      <c r="C174" s="1">
        <v>9</v>
      </c>
      <c r="D174" s="1">
        <v>2</v>
      </c>
      <c r="E174" s="1">
        <v>0</v>
      </c>
      <c r="F174" s="1">
        <v>1</v>
      </c>
      <c r="G174" s="1">
        <v>0</v>
      </c>
      <c r="H174" s="1" t="s">
        <v>18</v>
      </c>
    </row>
    <row r="175" spans="1:9" ht="15.75" customHeight="1" x14ac:dyDescent="0.25">
      <c r="B175" s="4" t="s">
        <v>44</v>
      </c>
      <c r="C175" s="1">
        <f t="shared" ref="C175:G175" si="25">SUM(C169:C174)</f>
        <v>15</v>
      </c>
      <c r="D175" s="1">
        <f t="shared" si="25"/>
        <v>9</v>
      </c>
      <c r="E175" s="1">
        <f t="shared" si="25"/>
        <v>3</v>
      </c>
      <c r="F175" s="1">
        <f t="shared" si="25"/>
        <v>3</v>
      </c>
      <c r="G175" s="1">
        <f t="shared" si="25"/>
        <v>0</v>
      </c>
    </row>
    <row r="177" spans="1:9" ht="13.2" x14ac:dyDescent="0.25"/>
    <row r="178" spans="1:9" ht="13.2" x14ac:dyDescent="0.25">
      <c r="A178" s="1" t="s">
        <v>81</v>
      </c>
      <c r="B178" s="1" t="s">
        <v>51</v>
      </c>
      <c r="C178" s="1" t="s">
        <v>82</v>
      </c>
      <c r="D178" s="1" t="s">
        <v>28</v>
      </c>
    </row>
    <row r="179" spans="1:9" ht="13.2" x14ac:dyDescent="0.25">
      <c r="B179" s="1">
        <f>C166</f>
        <v>8</v>
      </c>
      <c r="D179" s="1">
        <f>C175</f>
        <v>15</v>
      </c>
    </row>
    <row r="180" spans="1:9" ht="15.75" customHeight="1" x14ac:dyDescent="0.25">
      <c r="A180" s="1" t="s">
        <v>92</v>
      </c>
      <c r="B180" s="1" t="str">
        <f>IF(B179&gt;D179, "Team Nasty", "Team Tink")</f>
        <v>Team Tink</v>
      </c>
    </row>
    <row r="181" spans="1:9" ht="13.2" x14ac:dyDescent="0.25"/>
    <row r="182" spans="1:9" ht="13.2" x14ac:dyDescent="0.25">
      <c r="A182" s="1" t="s">
        <v>70</v>
      </c>
    </row>
    <row r="183" spans="1:9" ht="13.2" x14ac:dyDescent="0.25">
      <c r="B183" s="1" t="s">
        <v>3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I183" s="1" t="s">
        <v>37</v>
      </c>
    </row>
    <row r="184" spans="1:9" ht="13.2" x14ac:dyDescent="0.25">
      <c r="B184" s="5" t="s">
        <v>32</v>
      </c>
      <c r="C184" s="1">
        <v>4</v>
      </c>
      <c r="D184" s="1">
        <v>8</v>
      </c>
      <c r="E184" s="1">
        <v>3</v>
      </c>
      <c r="F184" s="1">
        <v>2</v>
      </c>
      <c r="G184" s="1">
        <v>1</v>
      </c>
      <c r="H184" s="1" t="s">
        <v>18</v>
      </c>
    </row>
    <row r="185" spans="1:9" ht="13.2" x14ac:dyDescent="0.25">
      <c r="B185" s="5" t="s">
        <v>144</v>
      </c>
      <c r="C185" s="1">
        <v>3</v>
      </c>
      <c r="D185" s="1">
        <v>11</v>
      </c>
      <c r="E185" s="1">
        <v>2</v>
      </c>
      <c r="F185" s="1">
        <v>0</v>
      </c>
      <c r="G185" s="1">
        <v>0</v>
      </c>
      <c r="H185" s="1" t="s">
        <v>18</v>
      </c>
      <c r="I185" s="1" t="s">
        <v>37</v>
      </c>
    </row>
    <row r="186" spans="1:9" ht="13.2" x14ac:dyDescent="0.25">
      <c r="B186" s="5" t="s">
        <v>146</v>
      </c>
      <c r="C186" s="1">
        <v>1</v>
      </c>
      <c r="D186" s="1">
        <v>2</v>
      </c>
      <c r="E186" s="1">
        <v>0</v>
      </c>
      <c r="F186" s="1">
        <v>0</v>
      </c>
      <c r="G186" s="1">
        <v>0</v>
      </c>
      <c r="H186" s="1" t="s">
        <v>18</v>
      </c>
    </row>
    <row r="187" spans="1:9" ht="13.2" x14ac:dyDescent="0.25">
      <c r="B187" s="5" t="s">
        <v>123</v>
      </c>
      <c r="C187" s="1">
        <v>3</v>
      </c>
      <c r="D187" s="1">
        <v>2</v>
      </c>
      <c r="E187" s="1">
        <v>0</v>
      </c>
      <c r="F187" s="1">
        <v>0</v>
      </c>
      <c r="G187" s="1">
        <v>1</v>
      </c>
      <c r="H187" s="1" t="s">
        <v>18</v>
      </c>
    </row>
    <row r="188" spans="1:9" ht="13.2" x14ac:dyDescent="0.25">
      <c r="B188" s="5" t="s">
        <v>147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 t="s">
        <v>23</v>
      </c>
      <c r="I188" s="1" t="s">
        <v>37</v>
      </c>
    </row>
    <row r="189" spans="1:9" ht="13.2" x14ac:dyDescent="0.25">
      <c r="B189" s="1" t="s">
        <v>25</v>
      </c>
      <c r="C189" s="1">
        <v>6</v>
      </c>
      <c r="D189" s="1">
        <v>14</v>
      </c>
      <c r="E189" s="1">
        <v>1</v>
      </c>
      <c r="F189" s="1">
        <v>0</v>
      </c>
      <c r="G189" s="1">
        <v>1</v>
      </c>
      <c r="H189" s="1" t="s">
        <v>18</v>
      </c>
    </row>
    <row r="190" spans="1:9" ht="13.2" x14ac:dyDescent="0.25">
      <c r="B190" s="4" t="s">
        <v>44</v>
      </c>
      <c r="C190" s="1">
        <f t="shared" ref="C190:D190" si="26">SUM(C184:C189)</f>
        <v>17</v>
      </c>
      <c r="D190" s="1">
        <f t="shared" si="26"/>
        <v>37</v>
      </c>
      <c r="E190" s="1">
        <f>SUM(E184:E188)</f>
        <v>5</v>
      </c>
      <c r="F190" s="1">
        <f>SUM(F184:F189)</f>
        <v>2</v>
      </c>
      <c r="G190" s="1">
        <f>SUM(G184:G188)</f>
        <v>2</v>
      </c>
    </row>
    <row r="191" spans="1:9" ht="13.2" x14ac:dyDescent="0.25">
      <c r="A191" s="1" t="s">
        <v>87</v>
      </c>
    </row>
    <row r="192" spans="1:9" ht="13.2" x14ac:dyDescent="0.25">
      <c r="B192" s="1" t="s">
        <v>3</v>
      </c>
      <c r="C192" s="1" t="s">
        <v>4</v>
      </c>
      <c r="D192" s="1" t="s">
        <v>5</v>
      </c>
      <c r="E192" s="1" t="s">
        <v>6</v>
      </c>
      <c r="F192" s="1" t="s">
        <v>7</v>
      </c>
      <c r="G192" s="1" t="s">
        <v>8</v>
      </c>
      <c r="I192" s="1" t="s">
        <v>37</v>
      </c>
    </row>
    <row r="193" spans="1:9" ht="13.2" x14ac:dyDescent="0.25">
      <c r="B193" s="5" t="s">
        <v>39</v>
      </c>
      <c r="C193" s="1">
        <v>9</v>
      </c>
      <c r="D193" s="1">
        <v>9</v>
      </c>
      <c r="E193" s="1">
        <v>0</v>
      </c>
      <c r="F193" s="1">
        <v>3</v>
      </c>
      <c r="G193" s="1">
        <v>0</v>
      </c>
      <c r="H193" s="1" t="s">
        <v>18</v>
      </c>
      <c r="I193" s="1" t="s">
        <v>37</v>
      </c>
    </row>
    <row r="194" spans="1:9" ht="13.2" x14ac:dyDescent="0.25">
      <c r="B194" s="5" t="s">
        <v>127</v>
      </c>
      <c r="C194" s="1">
        <v>4</v>
      </c>
      <c r="D194" s="1">
        <v>9</v>
      </c>
      <c r="E194" s="1">
        <v>1</v>
      </c>
      <c r="F194" s="1">
        <v>1</v>
      </c>
      <c r="G194" s="1">
        <v>0</v>
      </c>
      <c r="H194" s="1" t="s">
        <v>18</v>
      </c>
    </row>
    <row r="195" spans="1:9" ht="13.2" x14ac:dyDescent="0.25">
      <c r="B195" s="5" t="s">
        <v>160</v>
      </c>
      <c r="C195" s="1">
        <v>0</v>
      </c>
      <c r="D195" s="1">
        <v>5</v>
      </c>
      <c r="E195" s="1">
        <v>1</v>
      </c>
      <c r="F195" s="1">
        <v>0</v>
      </c>
      <c r="G195" s="1">
        <v>1</v>
      </c>
      <c r="H195" s="1" t="s">
        <v>18</v>
      </c>
    </row>
    <row r="196" spans="1:9" ht="13.2" x14ac:dyDescent="0.25">
      <c r="B196" s="5" t="s">
        <v>158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 t="s">
        <v>18</v>
      </c>
    </row>
    <row r="197" spans="1:9" ht="13.2" x14ac:dyDescent="0.25">
      <c r="B197" s="5" t="s">
        <v>166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 t="s">
        <v>23</v>
      </c>
      <c r="I197" s="1" t="s">
        <v>37</v>
      </c>
    </row>
    <row r="198" spans="1:9" ht="13.2" x14ac:dyDescent="0.25">
      <c r="B198" s="5" t="s">
        <v>154</v>
      </c>
      <c r="C198" s="1">
        <v>1</v>
      </c>
      <c r="D198" s="1">
        <v>9</v>
      </c>
      <c r="E198" s="1">
        <v>1</v>
      </c>
      <c r="F198" s="1">
        <v>0</v>
      </c>
      <c r="G198" s="1">
        <v>0</v>
      </c>
      <c r="H198" s="1" t="s">
        <v>18</v>
      </c>
    </row>
    <row r="199" spans="1:9" ht="15.75" customHeight="1" x14ac:dyDescent="0.25">
      <c r="B199" s="4" t="s">
        <v>44</v>
      </c>
      <c r="C199" s="1">
        <f t="shared" ref="C199:G199" si="27">SUM(C193:C198)</f>
        <v>14</v>
      </c>
      <c r="D199" s="1">
        <f t="shared" si="27"/>
        <v>33</v>
      </c>
      <c r="E199" s="1">
        <f t="shared" si="27"/>
        <v>3</v>
      </c>
      <c r="F199" s="1">
        <f t="shared" si="27"/>
        <v>4</v>
      </c>
      <c r="G199" s="1">
        <f t="shared" si="27"/>
        <v>1</v>
      </c>
    </row>
    <row r="200" spans="1:9" ht="13.2" x14ac:dyDescent="0.25"/>
    <row r="201" spans="1:9" ht="13.2" x14ac:dyDescent="0.25">
      <c r="A201" s="1" t="s">
        <v>81</v>
      </c>
      <c r="B201" s="1" t="s">
        <v>25</v>
      </c>
      <c r="C201" s="1" t="s">
        <v>82</v>
      </c>
      <c r="D201" s="1" t="s">
        <v>41</v>
      </c>
    </row>
    <row r="202" spans="1:9" ht="13.2" x14ac:dyDescent="0.25">
      <c r="B202" s="1">
        <f>C190</f>
        <v>17</v>
      </c>
      <c r="D202" s="1">
        <f>C199</f>
        <v>14</v>
      </c>
    </row>
    <row r="203" spans="1:9" ht="15.75" customHeight="1" x14ac:dyDescent="0.25">
      <c r="A203" s="1" t="s">
        <v>92</v>
      </c>
      <c r="B203" s="1" t="str">
        <f>IF(B202&gt;D202, "Team New O", "Team Flannel Bong")</f>
        <v>Team New O</v>
      </c>
    </row>
    <row r="204" spans="1:9" ht="13.2" x14ac:dyDescent="0.25"/>
    <row r="205" spans="1:9" ht="13.2" x14ac:dyDescent="0.25">
      <c r="A205" s="1" t="s">
        <v>0</v>
      </c>
    </row>
    <row r="206" spans="1:9" ht="13.2" x14ac:dyDescent="0.25">
      <c r="B206" s="1" t="s">
        <v>3</v>
      </c>
      <c r="C206" s="1" t="s">
        <v>4</v>
      </c>
      <c r="D206" s="1" t="s">
        <v>5</v>
      </c>
      <c r="E206" s="1" t="s">
        <v>6</v>
      </c>
      <c r="F206" s="1" t="s">
        <v>7</v>
      </c>
      <c r="G206" s="1" t="s">
        <v>8</v>
      </c>
      <c r="H206" s="1" t="s">
        <v>9</v>
      </c>
      <c r="I206" s="1" t="s">
        <v>37</v>
      </c>
    </row>
    <row r="207" spans="1:9" ht="13.2" x14ac:dyDescent="0.25">
      <c r="B207" s="1" t="s">
        <v>17</v>
      </c>
      <c r="C207" s="1">
        <v>2</v>
      </c>
      <c r="D207" s="1">
        <v>5</v>
      </c>
      <c r="E207" s="1">
        <v>2</v>
      </c>
      <c r="F207" s="1">
        <v>0</v>
      </c>
      <c r="G207" s="1">
        <v>0</v>
      </c>
      <c r="I207" s="1" t="s">
        <v>37</v>
      </c>
    </row>
    <row r="208" spans="1:9" ht="13.2" x14ac:dyDescent="0.25">
      <c r="B208" s="1" t="s">
        <v>22</v>
      </c>
      <c r="C208" s="1">
        <v>2</v>
      </c>
      <c r="D208" s="1">
        <v>0</v>
      </c>
      <c r="E208" s="1">
        <v>0</v>
      </c>
      <c r="F208" s="1">
        <v>0</v>
      </c>
      <c r="G208" s="1">
        <v>1</v>
      </c>
    </row>
    <row r="209" spans="1:9" ht="13.2" x14ac:dyDescent="0.25">
      <c r="B209" s="1" t="s">
        <v>29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9" ht="13.2" x14ac:dyDescent="0.25">
      <c r="B210" s="1" t="s">
        <v>33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I210" s="1" t="s">
        <v>37</v>
      </c>
    </row>
    <row r="211" spans="1:9" ht="13.2" x14ac:dyDescent="0.25">
      <c r="B211" s="1" t="s">
        <v>36</v>
      </c>
      <c r="C211" s="1">
        <v>2</v>
      </c>
      <c r="D211" s="1">
        <v>8</v>
      </c>
      <c r="E211" s="1">
        <v>0</v>
      </c>
      <c r="F211" s="1">
        <v>1</v>
      </c>
      <c r="G211" s="1">
        <v>0</v>
      </c>
    </row>
    <row r="212" spans="1:9" ht="13.2" x14ac:dyDescent="0.25">
      <c r="B212" s="1" t="s">
        <v>40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9" ht="13.2" x14ac:dyDescent="0.25">
      <c r="B213" s="4" t="s">
        <v>44</v>
      </c>
      <c r="C213" s="1">
        <f t="shared" ref="C213:D213" si="28">SUM(C207:C212)</f>
        <v>6</v>
      </c>
      <c r="D213" s="1">
        <f t="shared" si="28"/>
        <v>13</v>
      </c>
      <c r="E213" s="1">
        <f>SUM(E207:E211)</f>
        <v>2</v>
      </c>
      <c r="F213" s="1">
        <f>SUM(F207:F212)</f>
        <v>1</v>
      </c>
      <c r="G213" s="1">
        <f>SUM(G207:G211)</f>
        <v>1</v>
      </c>
    </row>
    <row r="214" spans="1:9" ht="13.2" x14ac:dyDescent="0.25">
      <c r="A214" s="1" t="s">
        <v>66</v>
      </c>
    </row>
    <row r="215" spans="1:9" ht="13.2" x14ac:dyDescent="0.25">
      <c r="B215" s="1" t="s">
        <v>3</v>
      </c>
      <c r="C215" s="1" t="s">
        <v>4</v>
      </c>
      <c r="D215" s="1" t="s">
        <v>5</v>
      </c>
      <c r="E215" s="1" t="s">
        <v>6</v>
      </c>
      <c r="F215" s="1" t="s">
        <v>7</v>
      </c>
      <c r="G215" s="1" t="s">
        <v>8</v>
      </c>
      <c r="I215" s="1" t="s">
        <v>37</v>
      </c>
    </row>
    <row r="216" spans="1:9" ht="13.2" x14ac:dyDescent="0.25">
      <c r="B216" s="5" t="s">
        <v>21</v>
      </c>
      <c r="C216" s="1">
        <v>3</v>
      </c>
      <c r="D216" s="1">
        <v>6</v>
      </c>
      <c r="E216" s="1">
        <v>0</v>
      </c>
      <c r="F216" s="1">
        <v>0</v>
      </c>
      <c r="G216" s="1">
        <v>0</v>
      </c>
      <c r="I216" s="1" t="s">
        <v>37</v>
      </c>
    </row>
    <row r="217" spans="1:9" ht="13.2" x14ac:dyDescent="0.25">
      <c r="B217" s="5" t="s">
        <v>16</v>
      </c>
      <c r="C217" s="1">
        <v>8</v>
      </c>
      <c r="D217" s="1">
        <v>7</v>
      </c>
      <c r="E217" s="1">
        <v>1</v>
      </c>
      <c r="F217" s="1">
        <v>0</v>
      </c>
      <c r="G217" s="1">
        <v>0</v>
      </c>
      <c r="I217" s="1" t="s">
        <v>37</v>
      </c>
    </row>
    <row r="218" spans="1:9" ht="13.2" x14ac:dyDescent="0.25">
      <c r="B218" s="5" t="s">
        <v>151</v>
      </c>
      <c r="C218" s="1">
        <v>3</v>
      </c>
      <c r="D218" s="1">
        <v>5</v>
      </c>
      <c r="E218" s="1">
        <v>1</v>
      </c>
      <c r="F218" s="1">
        <v>2</v>
      </c>
      <c r="G218" s="1">
        <v>0</v>
      </c>
    </row>
    <row r="219" spans="1:9" ht="13.2" x14ac:dyDescent="0.25">
      <c r="B219" s="5" t="s">
        <v>163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9" ht="13.2" x14ac:dyDescent="0.25">
      <c r="B220" s="5" t="s">
        <v>164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</row>
    <row r="221" spans="1:9" ht="13.2" x14ac:dyDescent="0.25">
      <c r="B221" s="5" t="s">
        <v>165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</row>
    <row r="222" spans="1:9" ht="13.2" x14ac:dyDescent="0.25">
      <c r="B222" s="1" t="s">
        <v>155</v>
      </c>
      <c r="C222" s="1">
        <v>2</v>
      </c>
      <c r="D222" s="1">
        <v>1</v>
      </c>
      <c r="E222" s="1">
        <v>2</v>
      </c>
      <c r="F222" s="1">
        <v>0</v>
      </c>
      <c r="G222" s="1">
        <v>0</v>
      </c>
    </row>
    <row r="223" spans="1:9" ht="15.75" customHeight="1" x14ac:dyDescent="0.25">
      <c r="C223" s="1">
        <f t="shared" ref="C223:G223" si="29">SUM(C216:C222)</f>
        <v>16</v>
      </c>
      <c r="D223" s="1">
        <f t="shared" si="29"/>
        <v>19</v>
      </c>
      <c r="E223" s="1">
        <f t="shared" si="29"/>
        <v>4</v>
      </c>
      <c r="F223" s="1">
        <f t="shared" si="29"/>
        <v>2</v>
      </c>
      <c r="G223" s="1">
        <f t="shared" si="29"/>
        <v>0</v>
      </c>
    </row>
    <row r="224" spans="1:9" ht="13.2" x14ac:dyDescent="0.25"/>
    <row r="225" spans="1:9" ht="13.2" x14ac:dyDescent="0.25">
      <c r="A225" s="1" t="s">
        <v>81</v>
      </c>
      <c r="B225" s="1" t="s">
        <v>19</v>
      </c>
      <c r="C225" s="1" t="s">
        <v>82</v>
      </c>
      <c r="D225" s="1" t="s">
        <v>45</v>
      </c>
    </row>
    <row r="226" spans="1:9" ht="13.2" x14ac:dyDescent="0.25">
      <c r="B226" s="1">
        <f>C213</f>
        <v>6</v>
      </c>
      <c r="D226" s="1">
        <f>C223</f>
        <v>16</v>
      </c>
    </row>
    <row r="227" spans="1:9" ht="15.75" customHeight="1" x14ac:dyDescent="0.25">
      <c r="A227" s="1" t="s">
        <v>92</v>
      </c>
      <c r="B227" s="1" t="str">
        <f>IF(B226&gt;D226, "Team Goybeam", "Team Grit")</f>
        <v>Team Grit</v>
      </c>
    </row>
    <row r="228" spans="1:9" ht="13.2" x14ac:dyDescent="0.25"/>
    <row r="229" spans="1:9" ht="13.2" x14ac:dyDescent="0.25">
      <c r="A229" s="1" t="s">
        <v>68</v>
      </c>
    </row>
    <row r="230" spans="1:9" ht="13.2" x14ac:dyDescent="0.25">
      <c r="B230" s="1" t="s">
        <v>3</v>
      </c>
      <c r="C230" s="1" t="s">
        <v>4</v>
      </c>
      <c r="D230" s="1" t="s">
        <v>5</v>
      </c>
      <c r="E230" s="1" t="s">
        <v>6</v>
      </c>
      <c r="F230" s="1" t="s">
        <v>7</v>
      </c>
      <c r="G230" s="1" t="s">
        <v>8</v>
      </c>
      <c r="I230" s="1" t="s">
        <v>37</v>
      </c>
    </row>
    <row r="231" spans="1:9" ht="13.2" x14ac:dyDescent="0.25">
      <c r="B231" s="5" t="s">
        <v>145</v>
      </c>
      <c r="C231" s="1">
        <v>1</v>
      </c>
      <c r="D231" s="1">
        <v>6</v>
      </c>
      <c r="E231" s="1">
        <v>0</v>
      </c>
      <c r="F231" s="1">
        <v>1</v>
      </c>
      <c r="G231" s="1">
        <v>0</v>
      </c>
      <c r="H231" s="1" t="s">
        <v>18</v>
      </c>
    </row>
    <row r="232" spans="1:9" ht="13.2" x14ac:dyDescent="0.25">
      <c r="B232" s="5" t="s">
        <v>119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 t="s">
        <v>23</v>
      </c>
    </row>
    <row r="233" spans="1:9" ht="13.2" x14ac:dyDescent="0.25">
      <c r="B233" s="5" t="s">
        <v>43</v>
      </c>
      <c r="C233" s="1">
        <v>3</v>
      </c>
      <c r="D233" s="1">
        <v>6</v>
      </c>
      <c r="E233" s="1">
        <v>1</v>
      </c>
      <c r="F233" s="1">
        <v>1</v>
      </c>
      <c r="G233" s="1">
        <v>1</v>
      </c>
      <c r="H233" s="1" t="s">
        <v>18</v>
      </c>
      <c r="I233" s="1" t="s">
        <v>37</v>
      </c>
    </row>
    <row r="234" spans="1:9" ht="13.2" x14ac:dyDescent="0.25">
      <c r="B234" s="5" t="s">
        <v>153</v>
      </c>
      <c r="C234" s="1">
        <v>2</v>
      </c>
      <c r="D234" s="1">
        <v>0</v>
      </c>
      <c r="E234" s="1">
        <v>0</v>
      </c>
      <c r="F234" s="1">
        <v>0</v>
      </c>
      <c r="G234" s="1">
        <v>0</v>
      </c>
      <c r="H234" s="1" t="s">
        <v>18</v>
      </c>
      <c r="I234" s="1" t="s">
        <v>37</v>
      </c>
    </row>
    <row r="235" spans="1:9" ht="13.2" x14ac:dyDescent="0.25">
      <c r="B235" s="5" t="s">
        <v>161</v>
      </c>
      <c r="C235" s="1">
        <v>0</v>
      </c>
      <c r="D235" s="1">
        <v>2</v>
      </c>
      <c r="E235" s="1">
        <v>1</v>
      </c>
      <c r="F235" s="1">
        <v>0</v>
      </c>
      <c r="G235" s="1">
        <v>0</v>
      </c>
      <c r="H235" s="1" t="s">
        <v>18</v>
      </c>
    </row>
    <row r="236" spans="1:9" ht="13.2" x14ac:dyDescent="0.25">
      <c r="B236" s="5" t="s">
        <v>49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 t="s">
        <v>23</v>
      </c>
    </row>
    <row r="237" spans="1:9" ht="13.2" x14ac:dyDescent="0.25">
      <c r="B237" s="4" t="s">
        <v>44</v>
      </c>
      <c r="C237" s="1">
        <f t="shared" ref="C237:D237" si="30">SUM(C231:C236)</f>
        <v>6</v>
      </c>
      <c r="D237" s="1">
        <f t="shared" si="30"/>
        <v>14</v>
      </c>
      <c r="E237" s="1">
        <f>SUM(E231:E235)</f>
        <v>2</v>
      </c>
      <c r="F237" s="1">
        <f>SUM(F231:F236)</f>
        <v>2</v>
      </c>
      <c r="G237" s="1">
        <f>SUM(G231:G235)</f>
        <v>1</v>
      </c>
    </row>
    <row r="238" spans="1:9" ht="13.2" x14ac:dyDescent="0.25">
      <c r="A238" s="1" t="s">
        <v>77</v>
      </c>
    </row>
    <row r="239" spans="1:9" ht="13.2" x14ac:dyDescent="0.25">
      <c r="B239" s="1" t="s">
        <v>3</v>
      </c>
      <c r="C239" s="1" t="s">
        <v>4</v>
      </c>
      <c r="D239" s="1" t="s">
        <v>5</v>
      </c>
      <c r="E239" s="1" t="s">
        <v>6</v>
      </c>
      <c r="F239" s="1" t="s">
        <v>7</v>
      </c>
      <c r="G239" s="1" t="s">
        <v>8</v>
      </c>
      <c r="I239" s="1" t="s">
        <v>37</v>
      </c>
    </row>
    <row r="240" spans="1:9" ht="13.2" x14ac:dyDescent="0.25">
      <c r="B240" s="1" t="s">
        <v>27</v>
      </c>
      <c r="C240" s="1">
        <v>2</v>
      </c>
      <c r="D240" s="1">
        <v>8</v>
      </c>
      <c r="E240" s="1">
        <v>7</v>
      </c>
      <c r="F240" s="1">
        <v>0</v>
      </c>
      <c r="G240" s="1">
        <v>0</v>
      </c>
      <c r="H240" s="1" t="s">
        <v>18</v>
      </c>
      <c r="I240" s="1" t="s">
        <v>37</v>
      </c>
    </row>
    <row r="241" spans="1:9" ht="13.2" x14ac:dyDescent="0.25">
      <c r="B241" s="1" t="s">
        <v>130</v>
      </c>
      <c r="C241" s="1">
        <v>5</v>
      </c>
      <c r="D241" s="1">
        <v>4</v>
      </c>
      <c r="E241" s="1">
        <v>0</v>
      </c>
      <c r="F241" s="1">
        <v>0</v>
      </c>
      <c r="G241" s="1">
        <v>0</v>
      </c>
      <c r="H241" s="1" t="s">
        <v>18</v>
      </c>
    </row>
    <row r="242" spans="1:9" ht="13.2" x14ac:dyDescent="0.25">
      <c r="B242" s="1" t="s">
        <v>133</v>
      </c>
      <c r="C242" s="1">
        <v>1</v>
      </c>
      <c r="D242" s="1">
        <v>2</v>
      </c>
      <c r="E242" s="1">
        <v>0</v>
      </c>
      <c r="F242" s="1">
        <v>0</v>
      </c>
      <c r="G242" s="1">
        <v>1</v>
      </c>
      <c r="H242" s="1" t="s">
        <v>18</v>
      </c>
    </row>
    <row r="243" spans="1:9" ht="13.2" x14ac:dyDescent="0.25">
      <c r="B243" s="1" t="s">
        <v>135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 t="s">
        <v>23</v>
      </c>
    </row>
    <row r="244" spans="1:9" ht="13.2" x14ac:dyDescent="0.25">
      <c r="B244" s="1" t="s">
        <v>136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 t="s">
        <v>23</v>
      </c>
      <c r="I244" s="1" t="s">
        <v>37</v>
      </c>
    </row>
    <row r="245" spans="1:9" ht="13.2" x14ac:dyDescent="0.25">
      <c r="B245" s="1" t="s">
        <v>34</v>
      </c>
      <c r="C245" s="1">
        <v>7</v>
      </c>
      <c r="D245" s="1">
        <v>2</v>
      </c>
      <c r="E245" s="1">
        <v>0</v>
      </c>
      <c r="F245" s="1">
        <v>0</v>
      </c>
      <c r="G245" s="1">
        <v>0</v>
      </c>
      <c r="H245" s="1" t="s">
        <v>18</v>
      </c>
    </row>
    <row r="246" spans="1:9" ht="15.75" customHeight="1" x14ac:dyDescent="0.25">
      <c r="B246" s="4" t="s">
        <v>44</v>
      </c>
      <c r="C246" s="1">
        <f t="shared" ref="C246:G246" si="31">SUM(C240:C245)</f>
        <v>15</v>
      </c>
      <c r="D246" s="1">
        <f t="shared" si="31"/>
        <v>16</v>
      </c>
      <c r="E246" s="1">
        <f t="shared" si="31"/>
        <v>7</v>
      </c>
      <c r="F246" s="1">
        <f t="shared" si="31"/>
        <v>0</v>
      </c>
      <c r="G246" s="1">
        <f t="shared" si="31"/>
        <v>1</v>
      </c>
    </row>
    <row r="247" spans="1:9" ht="13.2" x14ac:dyDescent="0.25"/>
    <row r="248" spans="1:9" ht="13.2" x14ac:dyDescent="0.25">
      <c r="A248" s="4" t="s">
        <v>177</v>
      </c>
    </row>
    <row r="249" spans="1:9" ht="13.2" x14ac:dyDescent="0.25">
      <c r="A249" s="4" t="s">
        <v>178</v>
      </c>
    </row>
    <row r="250" spans="1:9" ht="13.2" x14ac:dyDescent="0.25">
      <c r="A250" s="1" t="s">
        <v>179</v>
      </c>
    </row>
    <row r="251" spans="1:9" ht="13.2" x14ac:dyDescent="0.25">
      <c r="B251" s="1" t="s">
        <v>3</v>
      </c>
      <c r="C251" s="1" t="s">
        <v>4</v>
      </c>
      <c r="D251" s="1" t="s">
        <v>5</v>
      </c>
      <c r="E251" s="1" t="s">
        <v>6</v>
      </c>
      <c r="F251" s="1" t="s">
        <v>7</v>
      </c>
      <c r="G251" s="1" t="s">
        <v>8</v>
      </c>
      <c r="I251" s="1" t="s">
        <v>37</v>
      </c>
    </row>
    <row r="252" spans="1:9" ht="13.2" x14ac:dyDescent="0.25">
      <c r="B252" s="1" t="s">
        <v>24</v>
      </c>
      <c r="C252" s="1">
        <v>0</v>
      </c>
      <c r="D252" s="1">
        <v>5</v>
      </c>
      <c r="E252" s="1">
        <v>1</v>
      </c>
      <c r="F252" s="1">
        <v>3</v>
      </c>
      <c r="G252" s="1">
        <v>2</v>
      </c>
      <c r="I252" s="1" t="s">
        <v>37</v>
      </c>
    </row>
    <row r="253" spans="1:9" ht="13.2" x14ac:dyDescent="0.25">
      <c r="B253" s="1" t="s">
        <v>118</v>
      </c>
      <c r="C253" s="1">
        <v>0</v>
      </c>
      <c r="D253" s="1">
        <v>5</v>
      </c>
      <c r="E253" s="1">
        <v>0</v>
      </c>
      <c r="F253" s="1">
        <v>0</v>
      </c>
      <c r="G253" s="1">
        <v>2</v>
      </c>
      <c r="I253" s="1" t="s">
        <v>37</v>
      </c>
    </row>
    <row r="254" spans="1:9" ht="13.2" x14ac:dyDescent="0.25">
      <c r="B254" s="1" t="s">
        <v>113</v>
      </c>
      <c r="C254" s="1">
        <v>3</v>
      </c>
      <c r="D254" s="1">
        <v>4</v>
      </c>
      <c r="E254" s="1">
        <v>0</v>
      </c>
      <c r="F254" s="1">
        <v>0</v>
      </c>
      <c r="G254" s="1">
        <v>0</v>
      </c>
    </row>
    <row r="255" spans="1:9" ht="13.2" x14ac:dyDescent="0.25">
      <c r="B255" s="1" t="s">
        <v>120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</row>
    <row r="256" spans="1:9" ht="13.2" x14ac:dyDescent="0.25">
      <c r="B256" s="1" t="s">
        <v>171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</row>
    <row r="257" spans="1:9" ht="13.2" x14ac:dyDescent="0.25">
      <c r="B257" s="1" t="s">
        <v>125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</row>
    <row r="258" spans="1:9" ht="13.2" x14ac:dyDescent="0.25">
      <c r="B258" s="4" t="s">
        <v>44</v>
      </c>
      <c r="C258" s="1">
        <f t="shared" ref="C258:D258" si="32">SUM(C252:C257)</f>
        <v>3</v>
      </c>
      <c r="D258" s="1">
        <f t="shared" si="32"/>
        <v>14</v>
      </c>
      <c r="E258" s="1">
        <f>SUM(E252:E256)</f>
        <v>1</v>
      </c>
      <c r="F258" s="1">
        <f>SUM(F252:F257)</f>
        <v>3</v>
      </c>
      <c r="G258" s="1">
        <f>SUM(G252:G256)</f>
        <v>4</v>
      </c>
    </row>
    <row r="259" spans="1:9" ht="13.2" x14ac:dyDescent="0.25">
      <c r="A259" s="1" t="s">
        <v>88</v>
      </c>
    </row>
    <row r="260" spans="1:9" ht="13.2" x14ac:dyDescent="0.25">
      <c r="B260" s="1" t="s">
        <v>3</v>
      </c>
      <c r="C260" s="1" t="s">
        <v>4</v>
      </c>
      <c r="D260" s="1" t="s">
        <v>5</v>
      </c>
      <c r="E260" s="1" t="s">
        <v>6</v>
      </c>
      <c r="F260" s="1" t="s">
        <v>7</v>
      </c>
      <c r="G260" s="1" t="s">
        <v>8</v>
      </c>
      <c r="I260" s="1" t="s">
        <v>37</v>
      </c>
    </row>
    <row r="261" spans="1:9" ht="13.2" x14ac:dyDescent="0.25">
      <c r="B261" s="5" t="s">
        <v>143</v>
      </c>
      <c r="C261" s="1">
        <v>3</v>
      </c>
      <c r="D261" s="1">
        <v>4</v>
      </c>
      <c r="E261" s="1">
        <v>3</v>
      </c>
      <c r="F261" s="1">
        <v>0</v>
      </c>
      <c r="G261" s="1">
        <v>1</v>
      </c>
      <c r="I261" s="1" t="s">
        <v>37</v>
      </c>
    </row>
    <row r="262" spans="1:9" ht="13.2" x14ac:dyDescent="0.25">
      <c r="B262" s="5" t="s">
        <v>148</v>
      </c>
      <c r="C262" s="1">
        <v>2</v>
      </c>
      <c r="D262" s="1">
        <v>4</v>
      </c>
      <c r="E262" s="1">
        <v>4</v>
      </c>
      <c r="F262" s="1">
        <v>1</v>
      </c>
      <c r="G262" s="1">
        <v>0</v>
      </c>
    </row>
    <row r="263" spans="1:9" ht="13.2" x14ac:dyDescent="0.25">
      <c r="B263" s="5" t="s">
        <v>149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</row>
    <row r="264" spans="1:9" ht="13.2" x14ac:dyDescent="0.25">
      <c r="B264" s="5" t="s">
        <v>150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</row>
    <row r="265" spans="1:9" ht="13.2" x14ac:dyDescent="0.25">
      <c r="B265" s="5" t="s">
        <v>152</v>
      </c>
      <c r="C265" s="1">
        <v>0</v>
      </c>
      <c r="D265" s="1">
        <v>2</v>
      </c>
      <c r="E265" s="1">
        <v>0</v>
      </c>
      <c r="F265" s="1">
        <v>0</v>
      </c>
      <c r="G265" s="1">
        <v>0</v>
      </c>
      <c r="I265" s="1" t="s">
        <v>37</v>
      </c>
    </row>
    <row r="266" spans="1:9" ht="13.2" x14ac:dyDescent="0.25">
      <c r="B266" s="1" t="s">
        <v>28</v>
      </c>
      <c r="C266" s="1">
        <v>10</v>
      </c>
      <c r="D266" s="1">
        <v>6</v>
      </c>
      <c r="E266" s="1">
        <v>1</v>
      </c>
      <c r="F266" s="1">
        <v>0</v>
      </c>
      <c r="G266" s="1">
        <v>0</v>
      </c>
    </row>
    <row r="267" spans="1:9" ht="13.2" x14ac:dyDescent="0.25">
      <c r="B267" s="4" t="s">
        <v>44</v>
      </c>
      <c r="C267" s="1">
        <f t="shared" ref="C267:G267" si="33">SUM(C261:C266)</f>
        <v>15</v>
      </c>
      <c r="D267" s="1">
        <f t="shared" si="33"/>
        <v>16</v>
      </c>
      <c r="E267" s="1">
        <f t="shared" si="33"/>
        <v>8</v>
      </c>
      <c r="F267" s="1">
        <f t="shared" si="33"/>
        <v>1</v>
      </c>
      <c r="G267" s="1">
        <f t="shared" si="33"/>
        <v>1</v>
      </c>
    </row>
    <row r="268" spans="1:9" ht="13.2" x14ac:dyDescent="0.25">
      <c r="A268" s="4" t="s">
        <v>75</v>
      </c>
    </row>
    <row r="269" spans="1:9" ht="13.2" x14ac:dyDescent="0.25">
      <c r="A269" s="1" t="s">
        <v>87</v>
      </c>
    </row>
    <row r="270" spans="1:9" ht="13.2" x14ac:dyDescent="0.25">
      <c r="B270" s="1" t="s">
        <v>3</v>
      </c>
      <c r="C270" s="1" t="s">
        <v>4</v>
      </c>
      <c r="D270" s="1" t="s">
        <v>5</v>
      </c>
      <c r="E270" s="1" t="s">
        <v>6</v>
      </c>
      <c r="F270" s="1" t="s">
        <v>7</v>
      </c>
      <c r="G270" s="1" t="s">
        <v>8</v>
      </c>
      <c r="H270" s="1" t="s">
        <v>9</v>
      </c>
      <c r="I270" s="1" t="s">
        <v>37</v>
      </c>
    </row>
    <row r="271" spans="1:9" ht="13.2" x14ac:dyDescent="0.25">
      <c r="B271" s="5" t="s">
        <v>39</v>
      </c>
      <c r="C271" s="1">
        <v>3</v>
      </c>
      <c r="D271" s="1">
        <v>1</v>
      </c>
      <c r="E271" s="1">
        <v>2</v>
      </c>
      <c r="F271" s="1">
        <v>0</v>
      </c>
      <c r="G271" s="1">
        <v>1</v>
      </c>
      <c r="H271" s="1" t="s">
        <v>18</v>
      </c>
      <c r="I271" s="1" t="s">
        <v>37</v>
      </c>
    </row>
    <row r="272" spans="1:9" ht="13.2" x14ac:dyDescent="0.25">
      <c r="B272" s="5" t="s">
        <v>127</v>
      </c>
      <c r="C272" s="1">
        <v>8</v>
      </c>
      <c r="D272" s="1">
        <v>5</v>
      </c>
      <c r="E272" s="1">
        <v>4</v>
      </c>
      <c r="F272" s="1">
        <v>0</v>
      </c>
      <c r="G272" s="1">
        <v>0</v>
      </c>
      <c r="H272" s="1" t="s">
        <v>18</v>
      </c>
    </row>
    <row r="273" spans="1:9" ht="13.2" x14ac:dyDescent="0.25">
      <c r="B273" s="5" t="s">
        <v>160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 t="s">
        <v>23</v>
      </c>
    </row>
    <row r="274" spans="1:9" ht="13.2" x14ac:dyDescent="0.25">
      <c r="B274" s="5" t="s">
        <v>158</v>
      </c>
      <c r="C274" s="1">
        <v>1</v>
      </c>
      <c r="D274" s="1">
        <v>2</v>
      </c>
      <c r="E274" s="1">
        <v>0</v>
      </c>
      <c r="F274" s="1">
        <v>1</v>
      </c>
      <c r="G274" s="1">
        <v>0</v>
      </c>
      <c r="H274" s="1" t="s">
        <v>18</v>
      </c>
    </row>
    <row r="275" spans="1:9" ht="13.2" x14ac:dyDescent="0.25">
      <c r="B275" s="5" t="s">
        <v>166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 t="s">
        <v>23</v>
      </c>
      <c r="I275" s="1" t="s">
        <v>37</v>
      </c>
    </row>
    <row r="276" spans="1:9" ht="13.2" x14ac:dyDescent="0.25">
      <c r="B276" s="5" t="s">
        <v>154</v>
      </c>
      <c r="C276" s="1">
        <v>3</v>
      </c>
      <c r="D276" s="1">
        <v>5</v>
      </c>
      <c r="E276" s="1">
        <v>2</v>
      </c>
      <c r="F276" s="1">
        <v>3</v>
      </c>
      <c r="G276" s="1">
        <v>0</v>
      </c>
      <c r="H276" s="1" t="s">
        <v>18</v>
      </c>
    </row>
    <row r="277" spans="1:9" ht="13.2" x14ac:dyDescent="0.25">
      <c r="B277" s="4" t="s">
        <v>44</v>
      </c>
      <c r="C277" s="1">
        <f t="shared" ref="C277:D277" si="34">SUM(C271:C276)</f>
        <v>15</v>
      </c>
      <c r="D277" s="1">
        <f t="shared" si="34"/>
        <v>13</v>
      </c>
      <c r="E277" s="1">
        <f>SUM(E271:E275)</f>
        <v>6</v>
      </c>
      <c r="F277" s="1">
        <f>SUM(F271:F276)</f>
        <v>4</v>
      </c>
      <c r="G277" s="1">
        <f>SUM(G271:G275)</f>
        <v>1</v>
      </c>
    </row>
    <row r="278" spans="1:9" ht="13.2" x14ac:dyDescent="0.25">
      <c r="A278" s="1" t="s">
        <v>48</v>
      </c>
    </row>
    <row r="279" spans="1:9" ht="13.2" x14ac:dyDescent="0.25">
      <c r="B279" s="1" t="s">
        <v>3</v>
      </c>
      <c r="C279" s="1" t="s">
        <v>4</v>
      </c>
      <c r="D279" s="1" t="s">
        <v>5</v>
      </c>
      <c r="E279" s="1" t="s">
        <v>6</v>
      </c>
      <c r="F279" s="1" t="s">
        <v>7</v>
      </c>
      <c r="G279" s="1" t="s">
        <v>8</v>
      </c>
      <c r="I279" s="1" t="s">
        <v>37</v>
      </c>
    </row>
    <row r="280" spans="1:9" ht="13.2" x14ac:dyDescent="0.25">
      <c r="B280" s="1" t="s">
        <v>53</v>
      </c>
      <c r="C280" s="1">
        <v>0</v>
      </c>
      <c r="D280" s="1">
        <v>5</v>
      </c>
      <c r="E280" s="1">
        <v>1</v>
      </c>
      <c r="F280" s="1">
        <v>0</v>
      </c>
      <c r="G280" s="1">
        <v>0</v>
      </c>
      <c r="H280" s="1" t="s">
        <v>18</v>
      </c>
    </row>
    <row r="281" spans="1:9" ht="13.2" x14ac:dyDescent="0.25">
      <c r="B281" s="1" t="s">
        <v>54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 t="s">
        <v>23</v>
      </c>
      <c r="I281" s="1" t="s">
        <v>37</v>
      </c>
    </row>
    <row r="282" spans="1:9" ht="13.2" x14ac:dyDescent="0.25">
      <c r="B282" s="1" t="s">
        <v>55</v>
      </c>
      <c r="C282" s="1">
        <v>0</v>
      </c>
      <c r="D282" s="1">
        <v>6</v>
      </c>
      <c r="E282" s="1">
        <v>0</v>
      </c>
      <c r="F282" s="1">
        <v>1</v>
      </c>
      <c r="G282" s="1">
        <v>1</v>
      </c>
      <c r="H282" s="1" t="s">
        <v>18</v>
      </c>
    </row>
    <row r="283" spans="1:9" ht="13.2" x14ac:dyDescent="0.25">
      <c r="B283" s="1" t="s">
        <v>58</v>
      </c>
      <c r="C283" s="1">
        <v>0</v>
      </c>
      <c r="D283" s="1">
        <v>3</v>
      </c>
      <c r="E283" s="1">
        <v>0</v>
      </c>
      <c r="F283" s="1">
        <v>0</v>
      </c>
      <c r="G283" s="1">
        <v>0</v>
      </c>
      <c r="H283" s="1" t="s">
        <v>18</v>
      </c>
    </row>
    <row r="284" spans="1:9" ht="13.2" x14ac:dyDescent="0.25">
      <c r="B284" s="1" t="s">
        <v>65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 t="s">
        <v>23</v>
      </c>
      <c r="I284" s="1" t="s">
        <v>37</v>
      </c>
    </row>
    <row r="285" spans="1:9" ht="13.2" x14ac:dyDescent="0.25">
      <c r="B285" s="1" t="s">
        <v>67</v>
      </c>
      <c r="C285" s="1">
        <v>1</v>
      </c>
      <c r="D285" s="1">
        <v>3</v>
      </c>
      <c r="E285" s="1">
        <v>0</v>
      </c>
      <c r="F285" s="1">
        <v>1</v>
      </c>
      <c r="G285" s="1">
        <v>0</v>
      </c>
      <c r="H285" s="1" t="s">
        <v>18</v>
      </c>
    </row>
    <row r="286" spans="1:9" ht="13.2" x14ac:dyDescent="0.25">
      <c r="B286" s="4" t="s">
        <v>44</v>
      </c>
      <c r="C286" s="1">
        <f t="shared" ref="C286:G286" si="35">SUM(C280:C285)</f>
        <v>1</v>
      </c>
      <c r="D286" s="1">
        <f t="shared" si="35"/>
        <v>17</v>
      </c>
      <c r="E286" s="1">
        <f t="shared" si="35"/>
        <v>1</v>
      </c>
      <c r="F286" s="1">
        <f t="shared" si="35"/>
        <v>2</v>
      </c>
      <c r="G286" s="1">
        <f t="shared" si="35"/>
        <v>1</v>
      </c>
    </row>
    <row r="287" spans="1:9" ht="13.2" x14ac:dyDescent="0.25">
      <c r="A287" s="4" t="s">
        <v>76</v>
      </c>
    </row>
    <row r="288" spans="1:9" ht="13.2" x14ac:dyDescent="0.25">
      <c r="A288" s="1" t="s">
        <v>71</v>
      </c>
    </row>
    <row r="289" spans="1:9" ht="13.2" x14ac:dyDescent="0.25">
      <c r="B289" s="1" t="s">
        <v>3</v>
      </c>
      <c r="C289" s="1" t="s">
        <v>4</v>
      </c>
      <c r="D289" s="1" t="s">
        <v>5</v>
      </c>
      <c r="E289" s="1" t="s">
        <v>6</v>
      </c>
      <c r="F289" s="1" t="s">
        <v>7</v>
      </c>
      <c r="G289" s="1" t="s">
        <v>8</v>
      </c>
      <c r="I289" s="1" t="s">
        <v>37</v>
      </c>
    </row>
    <row r="290" spans="1:9" ht="13.2" x14ac:dyDescent="0.25">
      <c r="B290" s="5" t="s">
        <v>159</v>
      </c>
      <c r="C290" s="1">
        <v>0</v>
      </c>
      <c r="D290" s="1">
        <v>4</v>
      </c>
      <c r="E290" s="1">
        <v>0</v>
      </c>
      <c r="F290" s="1">
        <v>0</v>
      </c>
      <c r="G290" s="1">
        <v>0</v>
      </c>
      <c r="H290" s="1" t="s">
        <v>18</v>
      </c>
      <c r="I290" s="1" t="s">
        <v>37</v>
      </c>
    </row>
    <row r="291" spans="1:9" ht="13.2" x14ac:dyDescent="0.25">
      <c r="B291" s="5" t="s">
        <v>140</v>
      </c>
      <c r="C291" s="1">
        <v>6</v>
      </c>
      <c r="D291" s="1">
        <v>4</v>
      </c>
      <c r="E291" s="1">
        <v>1</v>
      </c>
      <c r="F291" s="1">
        <v>1</v>
      </c>
      <c r="G291" s="1">
        <v>0</v>
      </c>
      <c r="H291" s="1" t="s">
        <v>18</v>
      </c>
    </row>
    <row r="292" spans="1:9" ht="13.2" x14ac:dyDescent="0.25">
      <c r="B292" s="5" t="s">
        <v>167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 t="s">
        <v>23</v>
      </c>
    </row>
    <row r="293" spans="1:9" ht="13.2" x14ac:dyDescent="0.25">
      <c r="B293" s="5" t="s">
        <v>156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 t="s">
        <v>18</v>
      </c>
    </row>
    <row r="294" spans="1:9" ht="13.2" x14ac:dyDescent="0.25">
      <c r="B294" s="5" t="s">
        <v>162</v>
      </c>
      <c r="C294" s="1">
        <v>0</v>
      </c>
      <c r="D294" s="1">
        <v>1</v>
      </c>
      <c r="E294" s="1">
        <v>1</v>
      </c>
      <c r="F294" s="1">
        <v>0</v>
      </c>
      <c r="G294" s="1">
        <v>0</v>
      </c>
      <c r="H294" s="1" t="s">
        <v>18</v>
      </c>
      <c r="I294" s="1" t="s">
        <v>37</v>
      </c>
    </row>
    <row r="295" spans="1:9" ht="13.2" x14ac:dyDescent="0.25">
      <c r="B295" s="5" t="s">
        <v>121</v>
      </c>
      <c r="C295" s="1">
        <v>3</v>
      </c>
      <c r="D295" s="1">
        <v>3</v>
      </c>
      <c r="E295" s="1">
        <v>1</v>
      </c>
      <c r="F295" s="1">
        <v>2</v>
      </c>
      <c r="G295" s="1">
        <v>1</v>
      </c>
      <c r="H295" s="1" t="s">
        <v>18</v>
      </c>
    </row>
    <row r="296" spans="1:9" ht="13.2" x14ac:dyDescent="0.25">
      <c r="B296" s="4" t="s">
        <v>44</v>
      </c>
      <c r="C296" s="1">
        <f t="shared" ref="C296:D296" si="36">SUM(C290:C295)</f>
        <v>9</v>
      </c>
      <c r="D296" s="1">
        <f t="shared" si="36"/>
        <v>12</v>
      </c>
      <c r="E296" s="1">
        <f>SUM(E290:E294)</f>
        <v>2</v>
      </c>
      <c r="F296" s="1">
        <f>SUM(F290:F295)</f>
        <v>3</v>
      </c>
      <c r="G296" s="1">
        <f>SUM(G290:G294)</f>
        <v>0</v>
      </c>
    </row>
    <row r="297" spans="1:9" ht="13.2" x14ac:dyDescent="0.25">
      <c r="A297" s="1" t="s">
        <v>77</v>
      </c>
    </row>
    <row r="298" spans="1:9" ht="13.2" x14ac:dyDescent="0.25">
      <c r="B298" s="1" t="s">
        <v>3</v>
      </c>
      <c r="C298" s="1" t="s">
        <v>4</v>
      </c>
      <c r="D298" s="1" t="s">
        <v>5</v>
      </c>
      <c r="E298" s="1" t="s">
        <v>6</v>
      </c>
      <c r="F298" s="1" t="s">
        <v>7</v>
      </c>
      <c r="G298" s="1" t="s">
        <v>8</v>
      </c>
      <c r="I298" s="1" t="s">
        <v>37</v>
      </c>
    </row>
    <row r="299" spans="1:9" ht="13.2" x14ac:dyDescent="0.25">
      <c r="B299" s="1" t="s">
        <v>27</v>
      </c>
      <c r="C299" s="1">
        <v>5</v>
      </c>
      <c r="D299" s="1">
        <v>6</v>
      </c>
      <c r="E299" s="1">
        <v>3</v>
      </c>
      <c r="F299" s="1">
        <v>1</v>
      </c>
      <c r="G299" s="1">
        <v>1</v>
      </c>
      <c r="H299" s="1" t="s">
        <v>18</v>
      </c>
    </row>
    <row r="300" spans="1:9" ht="13.2" x14ac:dyDescent="0.25">
      <c r="B300" s="1" t="s">
        <v>130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 t="s">
        <v>23</v>
      </c>
      <c r="I300" s="1" t="s">
        <v>37</v>
      </c>
    </row>
    <row r="301" spans="1:9" ht="13.2" x14ac:dyDescent="0.25">
      <c r="B301" s="1" t="s">
        <v>133</v>
      </c>
      <c r="C301" s="1">
        <v>3</v>
      </c>
      <c r="D301" s="1">
        <v>8</v>
      </c>
      <c r="E301" s="1">
        <v>0</v>
      </c>
      <c r="F301" s="1">
        <v>0</v>
      </c>
      <c r="G301" s="1">
        <v>0</v>
      </c>
      <c r="H301" s="1" t="s">
        <v>18</v>
      </c>
    </row>
    <row r="302" spans="1:9" ht="13.2" x14ac:dyDescent="0.25">
      <c r="B302" s="1" t="s">
        <v>135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 t="s">
        <v>23</v>
      </c>
    </row>
    <row r="303" spans="1:9" ht="13.2" x14ac:dyDescent="0.25">
      <c r="B303" s="1" t="s">
        <v>136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 t="s">
        <v>23</v>
      </c>
      <c r="I303" s="1" t="s">
        <v>37</v>
      </c>
    </row>
    <row r="304" spans="1:9" ht="13.2" x14ac:dyDescent="0.25">
      <c r="B304" s="1" t="s">
        <v>34</v>
      </c>
      <c r="C304" s="1">
        <v>7</v>
      </c>
      <c r="D304" s="1">
        <v>6</v>
      </c>
      <c r="E304" s="1">
        <v>1</v>
      </c>
      <c r="F304" s="1">
        <v>1</v>
      </c>
      <c r="G304" s="1">
        <v>0</v>
      </c>
      <c r="H304" s="1" t="s">
        <v>18</v>
      </c>
    </row>
    <row r="305" spans="1:8" ht="13.2" x14ac:dyDescent="0.25">
      <c r="B305" s="4" t="s">
        <v>44</v>
      </c>
      <c r="C305" s="1">
        <f t="shared" ref="C305:G305" si="37">SUM(C299:C304)</f>
        <v>15</v>
      </c>
      <c r="D305" s="1">
        <f t="shared" si="37"/>
        <v>20</v>
      </c>
      <c r="E305" s="1">
        <f t="shared" si="37"/>
        <v>4</v>
      </c>
      <c r="F305" s="1">
        <f t="shared" si="37"/>
        <v>2</v>
      </c>
      <c r="G305" s="1">
        <f t="shared" si="37"/>
        <v>1</v>
      </c>
    </row>
    <row r="306" spans="1:8" ht="15.75" customHeight="1" x14ac:dyDescent="0.25">
      <c r="A306" s="4" t="s">
        <v>157</v>
      </c>
    </row>
    <row r="307" spans="1:8" ht="13.2" x14ac:dyDescent="0.25"/>
    <row r="308" spans="1:8" ht="13.2" x14ac:dyDescent="0.25">
      <c r="A308" s="1" t="s">
        <v>0</v>
      </c>
    </row>
    <row r="309" spans="1:8" ht="13.2" x14ac:dyDescent="0.25">
      <c r="B309" s="1" t="s">
        <v>3</v>
      </c>
      <c r="C309" s="1" t="s">
        <v>4</v>
      </c>
      <c r="D309" s="1" t="s">
        <v>5</v>
      </c>
      <c r="E309" s="1" t="s">
        <v>6</v>
      </c>
      <c r="F309" s="1" t="s">
        <v>7</v>
      </c>
      <c r="G309" s="1" t="s">
        <v>8</v>
      </c>
      <c r="H309" s="1" t="s">
        <v>9</v>
      </c>
    </row>
    <row r="310" spans="1:8" ht="13.2" x14ac:dyDescent="0.25">
      <c r="B310" s="1" t="s">
        <v>17</v>
      </c>
      <c r="C310" s="1">
        <v>2</v>
      </c>
      <c r="D310" s="1">
        <v>9</v>
      </c>
      <c r="E310" s="1">
        <v>0</v>
      </c>
      <c r="F310" s="1">
        <v>1</v>
      </c>
      <c r="G310" s="1">
        <v>0</v>
      </c>
      <c r="H310" s="1" t="s">
        <v>18</v>
      </c>
    </row>
    <row r="311" spans="1:8" ht="13.2" x14ac:dyDescent="0.25">
      <c r="B311" s="1" t="s">
        <v>22</v>
      </c>
      <c r="C311" s="1">
        <v>0</v>
      </c>
      <c r="D311" s="1">
        <v>8</v>
      </c>
      <c r="E311" s="1">
        <v>1</v>
      </c>
      <c r="F311" s="1">
        <v>1</v>
      </c>
      <c r="G311" s="1">
        <v>0</v>
      </c>
      <c r="H311" s="1" t="s">
        <v>23</v>
      </c>
    </row>
    <row r="312" spans="1:8" ht="13.2" x14ac:dyDescent="0.25">
      <c r="B312" s="1" t="s">
        <v>29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 t="s">
        <v>23</v>
      </c>
    </row>
    <row r="313" spans="1:8" ht="13.2" x14ac:dyDescent="0.25">
      <c r="B313" s="1" t="s">
        <v>33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 t="s">
        <v>18</v>
      </c>
    </row>
    <row r="314" spans="1:8" ht="13.2" x14ac:dyDescent="0.25">
      <c r="B314" s="1" t="s">
        <v>36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 t="s">
        <v>18</v>
      </c>
    </row>
    <row r="315" spans="1:8" ht="13.2" x14ac:dyDescent="0.25">
      <c r="B315" s="1" t="s">
        <v>40</v>
      </c>
      <c r="C315" s="1">
        <v>3</v>
      </c>
      <c r="D315" s="1">
        <v>6</v>
      </c>
      <c r="F315" s="1">
        <v>0</v>
      </c>
      <c r="H315" s="1" t="s">
        <v>18</v>
      </c>
    </row>
    <row r="316" spans="1:8" ht="13.2" x14ac:dyDescent="0.25">
      <c r="B316" s="4" t="s">
        <v>44</v>
      </c>
      <c r="C316" s="1">
        <f t="shared" ref="C316:D316" si="38">SUM(C310:C315)</f>
        <v>5</v>
      </c>
      <c r="D316" s="1">
        <f t="shared" si="38"/>
        <v>23</v>
      </c>
      <c r="E316" s="1">
        <f>SUM(E310:E314)</f>
        <v>1</v>
      </c>
      <c r="F316" s="1">
        <f>SUM(F310:F315)</f>
        <v>2</v>
      </c>
      <c r="G316" s="1">
        <f>SUM(G310:G314)</f>
        <v>0</v>
      </c>
    </row>
    <row r="317" spans="1:8" ht="13.2" x14ac:dyDescent="0.25">
      <c r="A317" s="1" t="s">
        <v>70</v>
      </c>
    </row>
    <row r="318" spans="1:8" ht="13.2" x14ac:dyDescent="0.25">
      <c r="B318" s="1" t="s">
        <v>3</v>
      </c>
      <c r="C318" s="1" t="s">
        <v>4</v>
      </c>
      <c r="D318" s="1" t="s">
        <v>5</v>
      </c>
      <c r="E318" s="1" t="s">
        <v>6</v>
      </c>
      <c r="F318" s="1" t="s">
        <v>7</v>
      </c>
      <c r="G318" s="1" t="s">
        <v>8</v>
      </c>
    </row>
    <row r="319" spans="1:8" ht="13.2" x14ac:dyDescent="0.25">
      <c r="B319" s="5" t="s">
        <v>32</v>
      </c>
      <c r="C319" s="1">
        <v>4</v>
      </c>
      <c r="D319" s="1">
        <v>11</v>
      </c>
      <c r="E319" s="1">
        <v>2</v>
      </c>
      <c r="F319" s="1">
        <v>1</v>
      </c>
      <c r="G319" s="1">
        <v>1</v>
      </c>
      <c r="H319" s="1" t="s">
        <v>18</v>
      </c>
    </row>
    <row r="320" spans="1:8" ht="13.2" x14ac:dyDescent="0.25">
      <c r="B320" s="5" t="s">
        <v>144</v>
      </c>
      <c r="C320" s="1">
        <v>1</v>
      </c>
      <c r="D320" s="1">
        <v>2</v>
      </c>
      <c r="E320" s="1">
        <v>0</v>
      </c>
      <c r="F320" s="1">
        <v>0</v>
      </c>
      <c r="G320" s="1">
        <v>0</v>
      </c>
      <c r="H320" s="1" t="s">
        <v>18</v>
      </c>
    </row>
    <row r="321" spans="1:8" ht="13.2" x14ac:dyDescent="0.25">
      <c r="B321" s="5" t="s">
        <v>146</v>
      </c>
      <c r="C321" s="1">
        <v>0</v>
      </c>
      <c r="D321" s="1">
        <v>1</v>
      </c>
      <c r="E321" s="1">
        <v>0</v>
      </c>
      <c r="F321" s="1">
        <v>0</v>
      </c>
      <c r="G321" s="1">
        <v>0</v>
      </c>
      <c r="H321" s="1" t="s">
        <v>18</v>
      </c>
    </row>
    <row r="322" spans="1:8" ht="13.2" x14ac:dyDescent="0.25">
      <c r="B322" s="5" t="s">
        <v>123</v>
      </c>
      <c r="C322" s="1">
        <v>8</v>
      </c>
      <c r="D322" s="1">
        <v>3</v>
      </c>
      <c r="E322" s="1">
        <v>2</v>
      </c>
      <c r="F322" s="1">
        <v>2</v>
      </c>
      <c r="G322" s="1">
        <v>2</v>
      </c>
      <c r="H322" s="1" t="s">
        <v>23</v>
      </c>
    </row>
    <row r="323" spans="1:8" ht="13.2" x14ac:dyDescent="0.25">
      <c r="B323" s="5" t="s">
        <v>147</v>
      </c>
      <c r="C323" s="1">
        <v>0</v>
      </c>
      <c r="D323" s="1">
        <v>2</v>
      </c>
      <c r="E323" s="1">
        <v>1</v>
      </c>
      <c r="F323" s="1">
        <v>0</v>
      </c>
      <c r="G323" s="1">
        <v>0</v>
      </c>
      <c r="H323" s="1" t="s">
        <v>18</v>
      </c>
    </row>
    <row r="324" spans="1:8" ht="13.2" x14ac:dyDescent="0.25">
      <c r="B324" s="1" t="s">
        <v>25</v>
      </c>
      <c r="C324" s="1">
        <v>2</v>
      </c>
      <c r="D324" s="1">
        <v>10</v>
      </c>
      <c r="E324" s="1">
        <v>3</v>
      </c>
      <c r="F324" s="1">
        <v>2</v>
      </c>
      <c r="G324" s="1">
        <v>0</v>
      </c>
      <c r="H324" s="1" t="s">
        <v>18</v>
      </c>
    </row>
    <row r="325" spans="1:8" ht="13.2" x14ac:dyDescent="0.25">
      <c r="B325" s="4" t="s">
        <v>44</v>
      </c>
      <c r="C325" s="1">
        <f t="shared" ref="C325:G325" si="39">SUM(C319:C324)</f>
        <v>15</v>
      </c>
      <c r="D325" s="1">
        <f t="shared" si="39"/>
        <v>29</v>
      </c>
      <c r="E325" s="1">
        <f t="shared" si="39"/>
        <v>8</v>
      </c>
      <c r="F325" s="1">
        <f t="shared" si="39"/>
        <v>5</v>
      </c>
      <c r="G325" s="1">
        <f t="shared" si="39"/>
        <v>3</v>
      </c>
    </row>
    <row r="326" spans="1:8" ht="13.2" x14ac:dyDescent="0.25">
      <c r="A326" s="4" t="s">
        <v>168</v>
      </c>
    </row>
    <row r="327" spans="1:8" ht="13.2" x14ac:dyDescent="0.25">
      <c r="A327" s="1" t="s">
        <v>66</v>
      </c>
    </row>
    <row r="328" spans="1:8" ht="13.2" x14ac:dyDescent="0.25">
      <c r="B328" s="1" t="s">
        <v>3</v>
      </c>
      <c r="C328" s="1" t="s">
        <v>4</v>
      </c>
      <c r="D328" s="1" t="s">
        <v>5</v>
      </c>
      <c r="E328" s="1" t="s">
        <v>6</v>
      </c>
      <c r="F328" s="1" t="s">
        <v>7</v>
      </c>
      <c r="G328" s="1" t="s">
        <v>8</v>
      </c>
    </row>
    <row r="329" spans="1:8" ht="13.2" x14ac:dyDescent="0.25">
      <c r="B329" s="5" t="s">
        <v>21</v>
      </c>
      <c r="C329" s="1">
        <v>5</v>
      </c>
      <c r="D329" s="1">
        <v>10</v>
      </c>
      <c r="E329" s="1">
        <v>2</v>
      </c>
      <c r="F329" s="1">
        <v>0</v>
      </c>
      <c r="G329" s="1">
        <v>0</v>
      </c>
    </row>
    <row r="330" spans="1:8" ht="13.2" x14ac:dyDescent="0.25">
      <c r="B330" s="5" t="s">
        <v>16</v>
      </c>
      <c r="C330" s="1">
        <v>9</v>
      </c>
      <c r="D330" s="1">
        <v>4</v>
      </c>
      <c r="E330" s="1">
        <v>2</v>
      </c>
      <c r="F330" s="1">
        <v>1</v>
      </c>
      <c r="G330" s="1">
        <v>0</v>
      </c>
    </row>
    <row r="331" spans="1:8" ht="13.2" x14ac:dyDescent="0.25">
      <c r="B331" s="5" t="s">
        <v>151</v>
      </c>
      <c r="C331" s="1">
        <v>2</v>
      </c>
      <c r="D331" s="1">
        <v>6</v>
      </c>
      <c r="E331" s="1">
        <v>1</v>
      </c>
      <c r="F331" s="1">
        <v>2</v>
      </c>
      <c r="G331" s="1">
        <v>1</v>
      </c>
    </row>
    <row r="332" spans="1:8" ht="13.2" x14ac:dyDescent="0.25">
      <c r="B332" s="5" t="s">
        <v>163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8" ht="13.2" x14ac:dyDescent="0.25">
      <c r="B333" s="5" t="s">
        <v>164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</row>
    <row r="334" spans="1:8" ht="13.2" x14ac:dyDescent="0.25">
      <c r="B334" s="5" t="s">
        <v>165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</row>
    <row r="335" spans="1:8" ht="13.2" x14ac:dyDescent="0.25">
      <c r="B335" s="1" t="s">
        <v>155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</row>
    <row r="336" spans="1:8" ht="13.2" x14ac:dyDescent="0.25">
      <c r="B336" s="4" t="s">
        <v>44</v>
      </c>
      <c r="C336" s="1">
        <f>SUM(C329:C335)</f>
        <v>16</v>
      </c>
      <c r="D336" s="1">
        <f>SUM(D329:D334)</f>
        <v>20</v>
      </c>
      <c r="E336" s="1">
        <f>SUM(E329:E333)</f>
        <v>5</v>
      </c>
      <c r="F336" s="1">
        <f>SUM(F329:F334)</f>
        <v>3</v>
      </c>
      <c r="G336" s="1">
        <f>SUM(G329:G333)</f>
        <v>1</v>
      </c>
    </row>
    <row r="337" spans="1:8" ht="13.2" x14ac:dyDescent="0.25">
      <c r="A337" s="1" t="s">
        <v>68</v>
      </c>
    </row>
    <row r="338" spans="1:8" ht="13.2" x14ac:dyDescent="0.25">
      <c r="B338" s="1" t="s">
        <v>3</v>
      </c>
      <c r="C338" s="1" t="s">
        <v>4</v>
      </c>
      <c r="D338" s="1" t="s">
        <v>5</v>
      </c>
      <c r="E338" s="1" t="s">
        <v>6</v>
      </c>
      <c r="F338" s="1" t="s">
        <v>7</v>
      </c>
      <c r="G338" s="1" t="s">
        <v>8</v>
      </c>
    </row>
    <row r="339" spans="1:8" ht="13.2" x14ac:dyDescent="0.25">
      <c r="B339" s="5" t="s">
        <v>145</v>
      </c>
      <c r="C339" s="1">
        <v>5</v>
      </c>
      <c r="D339" s="1">
        <v>7</v>
      </c>
      <c r="E339" s="1">
        <v>1</v>
      </c>
      <c r="F339" s="1">
        <v>0</v>
      </c>
      <c r="G339" s="1">
        <v>1</v>
      </c>
    </row>
    <row r="340" spans="1:8" ht="13.2" x14ac:dyDescent="0.25">
      <c r="B340" s="5" t="s">
        <v>119</v>
      </c>
      <c r="C340" s="1">
        <v>1</v>
      </c>
      <c r="D340" s="1">
        <v>4</v>
      </c>
      <c r="E340" s="1">
        <v>2</v>
      </c>
      <c r="F340" s="1">
        <v>1</v>
      </c>
      <c r="G340" s="1">
        <v>2</v>
      </c>
    </row>
    <row r="341" spans="1:8" ht="13.2" x14ac:dyDescent="0.25">
      <c r="B341" s="5" t="s">
        <v>43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</row>
    <row r="342" spans="1:8" ht="13.2" x14ac:dyDescent="0.25">
      <c r="B342" s="5" t="s">
        <v>153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</row>
    <row r="343" spans="1:8" ht="13.2" x14ac:dyDescent="0.25">
      <c r="B343" s="5" t="s">
        <v>161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</row>
    <row r="344" spans="1:8" ht="13.2" x14ac:dyDescent="0.25">
      <c r="B344" s="5" t="s">
        <v>49</v>
      </c>
      <c r="C344" s="1">
        <v>8</v>
      </c>
      <c r="D344" s="1">
        <v>11</v>
      </c>
      <c r="E344" s="1">
        <v>0</v>
      </c>
      <c r="F344" s="1">
        <v>0</v>
      </c>
      <c r="G344" s="1">
        <v>1</v>
      </c>
    </row>
    <row r="345" spans="1:8" ht="15.75" customHeight="1" x14ac:dyDescent="0.25">
      <c r="B345" s="4" t="s">
        <v>44</v>
      </c>
      <c r="C345" s="1">
        <f t="shared" ref="C345:G345" si="40">SUM(C339:C344)</f>
        <v>14</v>
      </c>
      <c r="D345" s="1">
        <f t="shared" si="40"/>
        <v>22</v>
      </c>
      <c r="E345" s="1">
        <f t="shared" si="40"/>
        <v>3</v>
      </c>
      <c r="F345" s="1">
        <f t="shared" si="40"/>
        <v>1</v>
      </c>
      <c r="G345" s="1">
        <f t="shared" si="40"/>
        <v>4</v>
      </c>
    </row>
    <row r="346" spans="1:8" ht="13.2" x14ac:dyDescent="0.25"/>
    <row r="347" spans="1:8" ht="15.75" customHeight="1" x14ac:dyDescent="0.25">
      <c r="A347" s="4" t="s">
        <v>180</v>
      </c>
    </row>
    <row r="348" spans="1:8" ht="13.2" x14ac:dyDescent="0.25"/>
    <row r="349" spans="1:8" ht="13.2" x14ac:dyDescent="0.25">
      <c r="A349" s="1" t="s">
        <v>0</v>
      </c>
    </row>
    <row r="350" spans="1:8" ht="13.2" x14ac:dyDescent="0.25">
      <c r="B350" s="1" t="s">
        <v>3</v>
      </c>
      <c r="C350" s="1" t="s">
        <v>4</v>
      </c>
      <c r="D350" s="1" t="s">
        <v>5</v>
      </c>
      <c r="E350" s="1" t="s">
        <v>6</v>
      </c>
      <c r="F350" s="1" t="s">
        <v>7</v>
      </c>
      <c r="G350" s="1" t="s">
        <v>8</v>
      </c>
      <c r="H350" s="1" t="s">
        <v>9</v>
      </c>
    </row>
    <row r="351" spans="1:8" ht="13.2" x14ac:dyDescent="0.25">
      <c r="B351" s="1" t="s">
        <v>17</v>
      </c>
      <c r="C351" s="1">
        <v>3</v>
      </c>
      <c r="D351" s="1">
        <v>9</v>
      </c>
      <c r="E351" s="1">
        <v>1</v>
      </c>
      <c r="F351" s="1">
        <v>0</v>
      </c>
      <c r="G351" s="1">
        <v>3</v>
      </c>
    </row>
    <row r="352" spans="1:8" ht="13.2" x14ac:dyDescent="0.25">
      <c r="B352" s="1" t="s">
        <v>22</v>
      </c>
      <c r="C352" s="1">
        <v>1</v>
      </c>
      <c r="D352" s="1">
        <v>3</v>
      </c>
      <c r="E352" s="1">
        <v>2</v>
      </c>
      <c r="F352" s="1">
        <v>0</v>
      </c>
      <c r="G352" s="1">
        <v>0</v>
      </c>
    </row>
    <row r="353" spans="1:7" ht="13.2" x14ac:dyDescent="0.25">
      <c r="B353" s="1" t="s">
        <v>29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</row>
    <row r="354" spans="1:7" ht="13.2" x14ac:dyDescent="0.25">
      <c r="B354" s="1" t="s">
        <v>33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</row>
    <row r="355" spans="1:7" ht="13.2" x14ac:dyDescent="0.25">
      <c r="B355" s="1" t="s">
        <v>36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</row>
    <row r="356" spans="1:7" ht="13.2" x14ac:dyDescent="0.25">
      <c r="B356" s="1" t="s">
        <v>40</v>
      </c>
      <c r="C356" s="1">
        <v>2</v>
      </c>
      <c r="D356" s="1">
        <v>3</v>
      </c>
      <c r="E356" s="1">
        <v>1</v>
      </c>
      <c r="F356" s="1">
        <v>0</v>
      </c>
    </row>
    <row r="357" spans="1:7" ht="13.2" x14ac:dyDescent="0.25">
      <c r="B357" s="4" t="s">
        <v>44</v>
      </c>
      <c r="C357" s="1">
        <f t="shared" ref="C357:F357" si="41">SUM(C351:C356)</f>
        <v>6</v>
      </c>
      <c r="D357" s="1">
        <f t="shared" si="41"/>
        <v>15</v>
      </c>
      <c r="E357" s="1">
        <f t="shared" si="41"/>
        <v>4</v>
      </c>
      <c r="F357" s="1">
        <f t="shared" si="41"/>
        <v>0</v>
      </c>
      <c r="G357" s="1">
        <f>SUM(G351:G355)</f>
        <v>3</v>
      </c>
    </row>
    <row r="358" spans="1:7" ht="13.2" x14ac:dyDescent="0.25">
      <c r="A358" s="1" t="s">
        <v>71</v>
      </c>
    </row>
    <row r="359" spans="1:7" ht="13.2" x14ac:dyDescent="0.25">
      <c r="B359" s="1" t="s">
        <v>3</v>
      </c>
      <c r="C359" s="1" t="s">
        <v>4</v>
      </c>
      <c r="D359" s="1" t="s">
        <v>5</v>
      </c>
      <c r="E359" s="1" t="s">
        <v>6</v>
      </c>
      <c r="F359" s="1" t="s">
        <v>7</v>
      </c>
      <c r="G359" s="1" t="s">
        <v>8</v>
      </c>
    </row>
    <row r="360" spans="1:7" ht="13.2" x14ac:dyDescent="0.25">
      <c r="B360" s="5" t="s">
        <v>159</v>
      </c>
      <c r="C360" s="1">
        <v>0</v>
      </c>
      <c r="D360" s="1">
        <v>2</v>
      </c>
      <c r="E360" s="1">
        <v>2</v>
      </c>
      <c r="F360" s="1">
        <v>0</v>
      </c>
      <c r="G360" s="1">
        <v>0</v>
      </c>
    </row>
    <row r="361" spans="1:7" ht="13.2" x14ac:dyDescent="0.25">
      <c r="B361" s="5" t="s">
        <v>140</v>
      </c>
      <c r="C361" s="1">
        <v>14</v>
      </c>
      <c r="D361" s="1">
        <v>8</v>
      </c>
      <c r="E361" s="1">
        <v>2</v>
      </c>
      <c r="F361" s="1">
        <v>1</v>
      </c>
      <c r="G361" s="1">
        <v>0</v>
      </c>
    </row>
    <row r="362" spans="1:7" ht="13.2" x14ac:dyDescent="0.25">
      <c r="B362" s="5" t="s">
        <v>167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</row>
    <row r="363" spans="1:7" ht="13.2" x14ac:dyDescent="0.25">
      <c r="B363" s="5" t="s">
        <v>156</v>
      </c>
      <c r="C363" s="1">
        <v>2</v>
      </c>
      <c r="D363" s="1">
        <v>2</v>
      </c>
      <c r="E363" s="1">
        <v>1</v>
      </c>
      <c r="F363" s="1">
        <v>0</v>
      </c>
      <c r="G363" s="1">
        <v>0</v>
      </c>
    </row>
    <row r="364" spans="1:7" ht="13.2" x14ac:dyDescent="0.25">
      <c r="B364" s="5" t="s">
        <v>162</v>
      </c>
      <c r="C364" s="1">
        <v>0</v>
      </c>
      <c r="D364" s="1">
        <v>2</v>
      </c>
      <c r="E364" s="1">
        <v>0</v>
      </c>
      <c r="F364" s="1">
        <v>0</v>
      </c>
      <c r="G364" s="1">
        <v>0</v>
      </c>
    </row>
    <row r="365" spans="1:7" ht="13.2" x14ac:dyDescent="0.25">
      <c r="A365" s="1"/>
      <c r="B365" s="5" t="s">
        <v>121</v>
      </c>
      <c r="C365" s="1">
        <v>1</v>
      </c>
      <c r="D365" s="1">
        <v>6</v>
      </c>
      <c r="E365" s="1">
        <v>2</v>
      </c>
      <c r="F365" s="1">
        <v>0</v>
      </c>
      <c r="G365" s="1">
        <v>1</v>
      </c>
    </row>
    <row r="366" spans="1:7" ht="13.2" x14ac:dyDescent="0.25">
      <c r="B366" s="4" t="s">
        <v>44</v>
      </c>
      <c r="C366" s="1">
        <f t="shared" ref="C366:G366" si="42">SUM(C360:C365)</f>
        <v>17</v>
      </c>
      <c r="D366" s="1">
        <f t="shared" si="42"/>
        <v>20</v>
      </c>
      <c r="E366" s="1">
        <f t="shared" si="42"/>
        <v>7</v>
      </c>
      <c r="F366" s="1">
        <f t="shared" si="42"/>
        <v>1</v>
      </c>
      <c r="G366" s="1">
        <f t="shared" si="42"/>
        <v>1</v>
      </c>
    </row>
    <row r="367" spans="1:7" ht="13.2" x14ac:dyDescent="0.25">
      <c r="A367" s="1" t="s">
        <v>87</v>
      </c>
    </row>
    <row r="368" spans="1:7" ht="13.2" x14ac:dyDescent="0.25">
      <c r="B368" s="1" t="s">
        <v>3</v>
      </c>
      <c r="C368" s="1" t="s">
        <v>4</v>
      </c>
      <c r="D368" s="1" t="s">
        <v>5</v>
      </c>
      <c r="E368" s="1" t="s">
        <v>6</v>
      </c>
      <c r="F368" s="1" t="s">
        <v>7</v>
      </c>
      <c r="G368" s="1" t="s">
        <v>8</v>
      </c>
    </row>
    <row r="369" spans="1:7" ht="13.2" x14ac:dyDescent="0.25">
      <c r="B369" s="5" t="s">
        <v>39</v>
      </c>
      <c r="C369" s="1">
        <v>19</v>
      </c>
      <c r="D369" s="1">
        <v>7</v>
      </c>
      <c r="E369" s="1">
        <v>1</v>
      </c>
      <c r="F369" s="1">
        <v>2</v>
      </c>
      <c r="G369" s="1">
        <v>0</v>
      </c>
    </row>
    <row r="370" spans="1:7" ht="13.2" x14ac:dyDescent="0.25">
      <c r="B370" s="5" t="s">
        <v>127</v>
      </c>
      <c r="C370" s="1">
        <v>2</v>
      </c>
      <c r="D370" s="1">
        <v>7</v>
      </c>
      <c r="E370" s="1">
        <v>4</v>
      </c>
      <c r="F370" s="1">
        <v>1</v>
      </c>
      <c r="G370" s="1">
        <v>0</v>
      </c>
    </row>
    <row r="371" spans="1:7" ht="13.2" x14ac:dyDescent="0.25">
      <c r="B371" s="5" t="s">
        <v>160</v>
      </c>
      <c r="C371" s="1">
        <v>0</v>
      </c>
      <c r="D371" s="1">
        <v>7</v>
      </c>
      <c r="E371" s="1">
        <v>0</v>
      </c>
      <c r="F371" s="1">
        <v>1</v>
      </c>
      <c r="G371" s="1">
        <v>0</v>
      </c>
    </row>
    <row r="372" spans="1:7" ht="13.2" x14ac:dyDescent="0.25">
      <c r="B372" s="5" t="s">
        <v>158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</row>
    <row r="373" spans="1:7" ht="13.2" x14ac:dyDescent="0.25">
      <c r="B373" s="5" t="s">
        <v>166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</row>
    <row r="374" spans="1:7" ht="13.2" x14ac:dyDescent="0.25">
      <c r="B374" s="5" t="s">
        <v>154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</row>
    <row r="375" spans="1:7" ht="13.2" x14ac:dyDescent="0.25">
      <c r="B375" s="4" t="s">
        <v>44</v>
      </c>
      <c r="C375" s="1">
        <f t="shared" ref="C375:D375" si="43">SUM(C369:C374)</f>
        <v>21</v>
      </c>
      <c r="D375" s="1">
        <f t="shared" si="43"/>
        <v>21</v>
      </c>
      <c r="E375" s="1">
        <f>SUM(E369:E373)</f>
        <v>5</v>
      </c>
      <c r="F375" s="1">
        <f>SUM(F369:F374)</f>
        <v>4</v>
      </c>
      <c r="G375" s="1">
        <f>SUM(G369:G373)</f>
        <v>0</v>
      </c>
    </row>
    <row r="376" spans="1:7" ht="13.2" x14ac:dyDescent="0.25">
      <c r="A376" s="1" t="s">
        <v>48</v>
      </c>
    </row>
    <row r="377" spans="1:7" ht="13.2" x14ac:dyDescent="0.25">
      <c r="B377" s="1" t="s">
        <v>3</v>
      </c>
      <c r="C377" s="1" t="s">
        <v>4</v>
      </c>
      <c r="D377" s="1" t="s">
        <v>5</v>
      </c>
      <c r="E377" s="1" t="s">
        <v>6</v>
      </c>
      <c r="F377" s="1" t="s">
        <v>7</v>
      </c>
      <c r="G377" s="1" t="s">
        <v>8</v>
      </c>
    </row>
    <row r="378" spans="1:7" ht="13.2" x14ac:dyDescent="0.25">
      <c r="B378" s="1" t="s">
        <v>53</v>
      </c>
      <c r="C378" s="1">
        <v>10</v>
      </c>
      <c r="D378" s="1">
        <v>6</v>
      </c>
      <c r="E378" s="1">
        <v>1</v>
      </c>
      <c r="F378" s="1">
        <v>0</v>
      </c>
      <c r="G378" s="1">
        <v>0</v>
      </c>
    </row>
    <row r="379" spans="1:7" ht="13.2" x14ac:dyDescent="0.25">
      <c r="B379" s="1" t="s">
        <v>54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</row>
    <row r="380" spans="1:7" ht="13.2" x14ac:dyDescent="0.25">
      <c r="B380" s="1" t="s">
        <v>55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</row>
    <row r="381" spans="1:7" ht="13.2" x14ac:dyDescent="0.25">
      <c r="B381" s="1" t="s">
        <v>58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</row>
    <row r="382" spans="1:7" ht="13.2" x14ac:dyDescent="0.25">
      <c r="B382" s="1" t="s">
        <v>181</v>
      </c>
      <c r="C382" s="1">
        <v>3</v>
      </c>
      <c r="D382" s="1">
        <v>6</v>
      </c>
      <c r="E382" s="1">
        <v>4</v>
      </c>
      <c r="F382" s="1">
        <v>0</v>
      </c>
      <c r="G382" s="1">
        <v>0</v>
      </c>
    </row>
    <row r="383" spans="1:7" ht="13.2" x14ac:dyDescent="0.25">
      <c r="B383" s="1" t="s">
        <v>67</v>
      </c>
      <c r="C383" s="1">
        <v>5</v>
      </c>
      <c r="D383" s="1">
        <v>9</v>
      </c>
      <c r="E383" s="1">
        <v>2</v>
      </c>
      <c r="F383" s="1">
        <v>0</v>
      </c>
      <c r="G383" s="1">
        <v>0</v>
      </c>
    </row>
    <row r="384" spans="1:7" ht="13.2" x14ac:dyDescent="0.25">
      <c r="B384" s="4" t="s">
        <v>44</v>
      </c>
      <c r="C384" s="1">
        <f t="shared" ref="C384:G384" si="44">SUM(C378:C383)</f>
        <v>18</v>
      </c>
      <c r="D384" s="1">
        <f t="shared" si="44"/>
        <v>21</v>
      </c>
      <c r="E384" s="1">
        <f t="shared" si="44"/>
        <v>7</v>
      </c>
      <c r="F384" s="1">
        <f t="shared" si="44"/>
        <v>0</v>
      </c>
      <c r="G384" s="1">
        <f t="shared" si="44"/>
        <v>0</v>
      </c>
    </row>
    <row r="385" spans="1:7" ht="13.2" x14ac:dyDescent="0.25">
      <c r="A385" s="4" t="s">
        <v>182</v>
      </c>
    </row>
    <row r="386" spans="1:7" ht="13.2" x14ac:dyDescent="0.25">
      <c r="A386" s="1" t="s">
        <v>72</v>
      </c>
    </row>
    <row r="387" spans="1:7" ht="13.2" x14ac:dyDescent="0.25">
      <c r="B387" s="1" t="s">
        <v>3</v>
      </c>
      <c r="C387" s="1" t="s">
        <v>4</v>
      </c>
      <c r="D387" s="1" t="s">
        <v>5</v>
      </c>
      <c r="E387" s="1" t="s">
        <v>6</v>
      </c>
      <c r="F387" s="1" t="s">
        <v>7</v>
      </c>
      <c r="G387" s="1" t="s">
        <v>8</v>
      </c>
    </row>
    <row r="388" spans="1:7" ht="13.2" x14ac:dyDescent="0.25">
      <c r="B388" s="5" t="s">
        <v>143</v>
      </c>
      <c r="C388" s="1">
        <v>8</v>
      </c>
      <c r="D388" s="1">
        <v>8</v>
      </c>
      <c r="E388" s="1">
        <v>4</v>
      </c>
      <c r="F388" s="1">
        <v>0</v>
      </c>
      <c r="G388" s="1">
        <v>1</v>
      </c>
    </row>
    <row r="389" spans="1:7" ht="13.2" x14ac:dyDescent="0.25">
      <c r="B389" s="5" t="s">
        <v>148</v>
      </c>
      <c r="C389" s="1">
        <v>3</v>
      </c>
      <c r="D389" s="1">
        <v>6</v>
      </c>
      <c r="E389" s="1">
        <v>1</v>
      </c>
      <c r="F389" s="1">
        <v>1</v>
      </c>
      <c r="G389" s="1">
        <v>0</v>
      </c>
    </row>
    <row r="390" spans="1:7" ht="13.2" x14ac:dyDescent="0.25">
      <c r="B390" s="5" t="s">
        <v>149</v>
      </c>
      <c r="C390" s="1">
        <v>1</v>
      </c>
      <c r="D390" s="1">
        <v>3</v>
      </c>
      <c r="E390" s="1">
        <v>1</v>
      </c>
      <c r="F390" s="1">
        <v>0</v>
      </c>
      <c r="G390" s="1">
        <v>1</v>
      </c>
    </row>
    <row r="391" spans="1:7" ht="13.2" x14ac:dyDescent="0.25">
      <c r="B391" s="5" t="s">
        <v>150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</row>
    <row r="392" spans="1:7" ht="13.2" x14ac:dyDescent="0.25">
      <c r="B392" s="5" t="s">
        <v>152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</row>
    <row r="393" spans="1:7" ht="13.2" x14ac:dyDescent="0.25">
      <c r="B393" s="1" t="s">
        <v>28</v>
      </c>
      <c r="C393" s="1">
        <v>6</v>
      </c>
      <c r="D393" s="1">
        <v>8</v>
      </c>
      <c r="E393" s="1">
        <v>1</v>
      </c>
      <c r="F393" s="1">
        <v>0</v>
      </c>
      <c r="G393" s="1">
        <v>0</v>
      </c>
    </row>
    <row r="394" spans="1:7" ht="13.2" x14ac:dyDescent="0.25">
      <c r="B394" s="4" t="s">
        <v>44</v>
      </c>
      <c r="C394" s="1">
        <f t="shared" ref="C394:D394" si="45">SUM(C388:C393)</f>
        <v>18</v>
      </c>
      <c r="D394" s="1">
        <f t="shared" si="45"/>
        <v>25</v>
      </c>
      <c r="E394" s="1">
        <f>SUM(E388:E392)</f>
        <v>6</v>
      </c>
      <c r="F394" s="1">
        <f>SUM(F388:F393)</f>
        <v>1</v>
      </c>
      <c r="G394" s="1">
        <f>SUM(G388:G392)</f>
        <v>2</v>
      </c>
    </row>
    <row r="395" spans="1:7" ht="13.2" x14ac:dyDescent="0.25">
      <c r="A395" s="1" t="s">
        <v>68</v>
      </c>
    </row>
    <row r="396" spans="1:7" ht="13.2" x14ac:dyDescent="0.25">
      <c r="B396" s="1" t="s">
        <v>3</v>
      </c>
      <c r="C396" s="1" t="s">
        <v>4</v>
      </c>
      <c r="D396" s="1" t="s">
        <v>5</v>
      </c>
      <c r="E396" s="1" t="s">
        <v>6</v>
      </c>
      <c r="F396" s="1" t="s">
        <v>7</v>
      </c>
      <c r="G396" s="1" t="s">
        <v>8</v>
      </c>
    </row>
    <row r="397" spans="1:7" ht="13.2" x14ac:dyDescent="0.25">
      <c r="B397" s="5" t="s">
        <v>145</v>
      </c>
      <c r="C397" s="1">
        <v>8</v>
      </c>
      <c r="D397" s="1">
        <v>6</v>
      </c>
      <c r="E397" s="1">
        <v>3</v>
      </c>
      <c r="F397" s="1">
        <v>2</v>
      </c>
      <c r="G397" s="1">
        <v>0</v>
      </c>
    </row>
    <row r="398" spans="1:7" ht="13.2" x14ac:dyDescent="0.25">
      <c r="B398" s="5" t="s">
        <v>119</v>
      </c>
      <c r="C398" s="1">
        <v>4</v>
      </c>
      <c r="D398" s="1">
        <v>7</v>
      </c>
      <c r="E398" s="1">
        <v>4</v>
      </c>
      <c r="F398" s="1">
        <v>0</v>
      </c>
      <c r="G398" s="1">
        <v>1</v>
      </c>
    </row>
    <row r="399" spans="1:7" ht="13.2" x14ac:dyDescent="0.25">
      <c r="B399" s="5" t="s">
        <v>43</v>
      </c>
      <c r="C399" s="1">
        <v>2</v>
      </c>
      <c r="D399" s="1">
        <v>8</v>
      </c>
      <c r="E399" s="1">
        <v>3</v>
      </c>
      <c r="F399" s="1">
        <v>1</v>
      </c>
      <c r="G399" s="1">
        <v>0</v>
      </c>
    </row>
    <row r="400" spans="1:7" ht="13.2" x14ac:dyDescent="0.25">
      <c r="B400" s="5" t="s">
        <v>153</v>
      </c>
      <c r="C400" s="1">
        <v>0</v>
      </c>
      <c r="D400" s="1">
        <v>1</v>
      </c>
      <c r="E400" s="1">
        <v>0</v>
      </c>
      <c r="F400" s="1">
        <v>0</v>
      </c>
      <c r="G400" s="1">
        <v>0</v>
      </c>
    </row>
    <row r="401" spans="1:7" ht="13.2" x14ac:dyDescent="0.25">
      <c r="B401" s="5" t="s">
        <v>161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</row>
    <row r="402" spans="1:7" ht="13.2" x14ac:dyDescent="0.25">
      <c r="B402" s="5" t="s">
        <v>49</v>
      </c>
      <c r="C402" s="1">
        <v>7</v>
      </c>
      <c r="D402" s="1">
        <v>9</v>
      </c>
      <c r="E402" s="1">
        <v>3</v>
      </c>
      <c r="F402" s="1">
        <v>0</v>
      </c>
      <c r="G402" s="1">
        <v>0</v>
      </c>
    </row>
    <row r="403" spans="1:7" ht="13.2" x14ac:dyDescent="0.25">
      <c r="B403" s="4" t="s">
        <v>44</v>
      </c>
      <c r="C403" s="1">
        <f t="shared" ref="C403:G403" si="46">SUM(C397:C402)</f>
        <v>21</v>
      </c>
      <c r="D403" s="1">
        <f t="shared" si="46"/>
        <v>31</v>
      </c>
      <c r="E403" s="1">
        <f t="shared" si="46"/>
        <v>13</v>
      </c>
      <c r="F403" s="1">
        <f t="shared" si="46"/>
        <v>3</v>
      </c>
      <c r="G403" s="1">
        <f t="shared" si="46"/>
        <v>1</v>
      </c>
    </row>
    <row r="404" spans="1:7" ht="15.75" customHeight="1" x14ac:dyDescent="0.25">
      <c r="A404" s="4" t="s">
        <v>75</v>
      </c>
    </row>
    <row r="405" spans="1:7" ht="13.2" x14ac:dyDescent="0.25"/>
    <row r="406" spans="1:7" ht="13.2" x14ac:dyDescent="0.25">
      <c r="A406" s="1" t="s">
        <v>66</v>
      </c>
    </row>
    <row r="407" spans="1:7" ht="13.2" x14ac:dyDescent="0.25">
      <c r="B407" s="1" t="s">
        <v>3</v>
      </c>
      <c r="C407" s="1" t="s">
        <v>4</v>
      </c>
      <c r="D407" s="1" t="s">
        <v>5</v>
      </c>
      <c r="E407" s="1" t="s">
        <v>6</v>
      </c>
      <c r="F407" s="1" t="s">
        <v>7</v>
      </c>
      <c r="G407" s="1" t="s">
        <v>8</v>
      </c>
    </row>
    <row r="408" spans="1:7" ht="13.2" x14ac:dyDescent="0.25">
      <c r="B408" s="5" t="s">
        <v>21</v>
      </c>
      <c r="C408" s="1">
        <v>12</v>
      </c>
      <c r="D408" s="1">
        <v>14</v>
      </c>
      <c r="E408" s="1">
        <v>3</v>
      </c>
      <c r="F408" s="1">
        <v>0</v>
      </c>
      <c r="G408" s="1">
        <v>1</v>
      </c>
    </row>
    <row r="409" spans="1:7" ht="13.2" x14ac:dyDescent="0.25">
      <c r="B409" s="5" t="s">
        <v>16</v>
      </c>
      <c r="C409" s="1">
        <v>9</v>
      </c>
      <c r="D409" s="1">
        <v>8</v>
      </c>
      <c r="E409" s="1">
        <v>6</v>
      </c>
      <c r="F409" s="1">
        <v>2</v>
      </c>
      <c r="G409" s="1">
        <v>1</v>
      </c>
    </row>
    <row r="410" spans="1:7" ht="13.2" x14ac:dyDescent="0.25">
      <c r="B410" s="5" t="s">
        <v>151</v>
      </c>
      <c r="C410" s="1">
        <v>0</v>
      </c>
      <c r="D410" s="1">
        <v>5</v>
      </c>
      <c r="E410" s="1">
        <v>2</v>
      </c>
      <c r="F410" s="1">
        <v>0</v>
      </c>
      <c r="G410" s="1">
        <v>0</v>
      </c>
    </row>
    <row r="411" spans="1:7" ht="13.2" x14ac:dyDescent="0.25">
      <c r="B411" s="5" t="s">
        <v>163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</row>
    <row r="412" spans="1:7" ht="13.2" x14ac:dyDescent="0.25">
      <c r="B412" s="5" t="s">
        <v>164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 ht="13.2" x14ac:dyDescent="0.25">
      <c r="B413" s="5" t="s">
        <v>165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</row>
    <row r="414" spans="1:7" ht="13.2" x14ac:dyDescent="0.25">
      <c r="B414" s="1" t="s">
        <v>155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</row>
    <row r="415" spans="1:7" ht="13.2" x14ac:dyDescent="0.25">
      <c r="B415" s="4" t="s">
        <v>44</v>
      </c>
      <c r="C415" s="1">
        <f>SUM(C408:C414)</f>
        <v>21</v>
      </c>
      <c r="D415" s="1">
        <f>SUM(D408:D413)</f>
        <v>27</v>
      </c>
      <c r="E415" s="1">
        <f>SUM(E408:E412)</f>
        <v>11</v>
      </c>
      <c r="F415" s="1">
        <f>SUM(F408:F413)</f>
        <v>2</v>
      </c>
      <c r="G415" s="1">
        <f>SUM(G408:G412)</f>
        <v>2</v>
      </c>
    </row>
    <row r="416" spans="1:7" ht="13.2" x14ac:dyDescent="0.25">
      <c r="A416" s="1" t="s">
        <v>71</v>
      </c>
    </row>
    <row r="417" spans="1:7" ht="13.2" x14ac:dyDescent="0.25">
      <c r="B417" s="1" t="s">
        <v>3</v>
      </c>
      <c r="C417" s="1" t="s">
        <v>4</v>
      </c>
      <c r="D417" s="1" t="s">
        <v>5</v>
      </c>
      <c r="E417" s="1" t="s">
        <v>6</v>
      </c>
      <c r="F417" s="1" t="s">
        <v>7</v>
      </c>
      <c r="G417" s="1" t="s">
        <v>8</v>
      </c>
    </row>
    <row r="418" spans="1:7" ht="13.2" x14ac:dyDescent="0.25">
      <c r="B418" s="5" t="s">
        <v>159</v>
      </c>
      <c r="C418" s="1">
        <v>0</v>
      </c>
      <c r="D418" s="1">
        <v>2</v>
      </c>
      <c r="E418" s="1">
        <v>0</v>
      </c>
      <c r="F418" s="1">
        <v>0</v>
      </c>
      <c r="G418" s="1">
        <v>0</v>
      </c>
    </row>
    <row r="419" spans="1:7" ht="13.2" x14ac:dyDescent="0.25">
      <c r="B419" s="5" t="s">
        <v>140</v>
      </c>
      <c r="C419" s="1">
        <v>5</v>
      </c>
      <c r="D419" s="1">
        <v>4</v>
      </c>
      <c r="E419" s="1">
        <v>0</v>
      </c>
      <c r="F419" s="1">
        <v>0</v>
      </c>
      <c r="G419" s="1">
        <v>0</v>
      </c>
    </row>
    <row r="420" spans="1:7" ht="13.2" x14ac:dyDescent="0.25">
      <c r="B420" s="5" t="s">
        <v>167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</row>
    <row r="421" spans="1:7" ht="13.2" x14ac:dyDescent="0.25">
      <c r="B421" s="5" t="s">
        <v>156</v>
      </c>
      <c r="C421" s="1">
        <v>1</v>
      </c>
      <c r="D421" s="1">
        <v>4</v>
      </c>
      <c r="E421" s="1">
        <v>2</v>
      </c>
      <c r="F421" s="1">
        <v>0</v>
      </c>
      <c r="G421" s="1">
        <v>0</v>
      </c>
    </row>
    <row r="422" spans="1:7" ht="13.2" x14ac:dyDescent="0.25">
      <c r="B422" s="5" t="s">
        <v>162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</row>
    <row r="423" spans="1:7" ht="13.2" x14ac:dyDescent="0.25">
      <c r="B423" s="5" t="s">
        <v>121</v>
      </c>
      <c r="C423" s="1">
        <v>3</v>
      </c>
      <c r="D423" s="1">
        <v>4</v>
      </c>
      <c r="E423" s="1">
        <v>1</v>
      </c>
      <c r="F423" s="1">
        <v>1</v>
      </c>
      <c r="G423" s="1">
        <v>1</v>
      </c>
    </row>
    <row r="424" spans="1:7" ht="15.75" customHeight="1" x14ac:dyDescent="0.25">
      <c r="B424" s="4" t="s">
        <v>44</v>
      </c>
      <c r="C424" s="1">
        <f t="shared" ref="C424:G424" si="47">SUM(C418:C423)</f>
        <v>9</v>
      </c>
      <c r="D424" s="1">
        <f t="shared" si="47"/>
        <v>15</v>
      </c>
      <c r="E424" s="1">
        <f t="shared" si="47"/>
        <v>3</v>
      </c>
      <c r="F424" s="1">
        <f t="shared" si="47"/>
        <v>1</v>
      </c>
      <c r="G424" s="1">
        <f t="shared" si="47"/>
        <v>1</v>
      </c>
    </row>
    <row r="426" spans="1:7" ht="13.2" x14ac:dyDescent="0.25"/>
    <row r="427" spans="1:7" ht="13.2" x14ac:dyDescent="0.25">
      <c r="A427" s="4" t="s">
        <v>76</v>
      </c>
    </row>
    <row r="428" spans="1:7" ht="13.2" x14ac:dyDescent="0.25">
      <c r="A428" s="1" t="s">
        <v>70</v>
      </c>
    </row>
    <row r="429" spans="1:7" ht="13.2" x14ac:dyDescent="0.25">
      <c r="B429" s="1" t="s">
        <v>3</v>
      </c>
      <c r="C429" s="1" t="s">
        <v>4</v>
      </c>
      <c r="D429" s="1" t="s">
        <v>5</v>
      </c>
      <c r="E429" s="1" t="s">
        <v>6</v>
      </c>
      <c r="F429" s="1" t="s">
        <v>7</v>
      </c>
      <c r="G429" s="1" t="s">
        <v>8</v>
      </c>
    </row>
    <row r="430" spans="1:7" ht="13.2" x14ac:dyDescent="0.25">
      <c r="B430" s="5" t="s">
        <v>32</v>
      </c>
      <c r="C430" s="1">
        <v>10</v>
      </c>
      <c r="D430" s="1">
        <v>4</v>
      </c>
      <c r="E430" s="1">
        <v>3</v>
      </c>
      <c r="F430" s="1">
        <v>0</v>
      </c>
      <c r="G430" s="1">
        <v>0</v>
      </c>
    </row>
    <row r="431" spans="1:7" ht="13.2" x14ac:dyDescent="0.25">
      <c r="B431" s="5" t="s">
        <v>144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</row>
    <row r="432" spans="1:7" ht="13.2" x14ac:dyDescent="0.25">
      <c r="B432" s="5" t="s">
        <v>146</v>
      </c>
      <c r="C432" s="1">
        <v>2</v>
      </c>
      <c r="D432" s="1">
        <v>1</v>
      </c>
      <c r="E432" s="1">
        <v>3</v>
      </c>
      <c r="F432" s="1">
        <v>1</v>
      </c>
      <c r="G432" s="1">
        <v>0</v>
      </c>
    </row>
    <row r="433" spans="1:7" ht="13.2" x14ac:dyDescent="0.25">
      <c r="B433" s="5" t="s">
        <v>123</v>
      </c>
      <c r="C433" s="1">
        <v>6</v>
      </c>
      <c r="D433" s="1">
        <v>4</v>
      </c>
      <c r="E433" s="1">
        <v>0</v>
      </c>
      <c r="F433" s="1">
        <v>2</v>
      </c>
      <c r="G433" s="1">
        <v>0</v>
      </c>
    </row>
    <row r="434" spans="1:7" ht="13.2" x14ac:dyDescent="0.25">
      <c r="B434" s="5" t="s">
        <v>147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</row>
    <row r="435" spans="1:7" ht="13.2" x14ac:dyDescent="0.25">
      <c r="B435" s="1" t="s">
        <v>25</v>
      </c>
      <c r="C435" s="1">
        <v>3</v>
      </c>
      <c r="D435" s="1">
        <v>7</v>
      </c>
      <c r="E435" s="1">
        <v>4</v>
      </c>
      <c r="F435" s="1">
        <v>3</v>
      </c>
      <c r="G435" s="1">
        <v>2</v>
      </c>
    </row>
    <row r="436" spans="1:7" ht="13.2" x14ac:dyDescent="0.25">
      <c r="B436" s="4" t="s">
        <v>44</v>
      </c>
      <c r="C436" s="1">
        <f t="shared" ref="C436:D436" si="48">SUM(C430:C435)</f>
        <v>21</v>
      </c>
      <c r="D436" s="1">
        <f t="shared" si="48"/>
        <v>17</v>
      </c>
      <c r="E436" s="1">
        <f>SUM(E430:E434)</f>
        <v>6</v>
      </c>
      <c r="F436" s="1">
        <f>SUM(F430:F435)</f>
        <v>6</v>
      </c>
      <c r="G436" s="1">
        <f>SUM(G430:G434)</f>
        <v>0</v>
      </c>
    </row>
    <row r="437" spans="1:7" ht="13.2" x14ac:dyDescent="0.25">
      <c r="A437" s="1" t="s">
        <v>87</v>
      </c>
    </row>
    <row r="438" spans="1:7" ht="13.2" x14ac:dyDescent="0.25">
      <c r="B438" s="1" t="s">
        <v>3</v>
      </c>
      <c r="C438" s="1" t="s">
        <v>4</v>
      </c>
      <c r="D438" s="1" t="s">
        <v>5</v>
      </c>
      <c r="E438" s="1" t="s">
        <v>6</v>
      </c>
      <c r="F438" s="1" t="s">
        <v>7</v>
      </c>
      <c r="G438" s="1" t="s">
        <v>8</v>
      </c>
    </row>
    <row r="439" spans="1:7" ht="13.2" x14ac:dyDescent="0.25">
      <c r="B439" s="5" t="s">
        <v>39</v>
      </c>
      <c r="C439" s="1">
        <v>13</v>
      </c>
      <c r="D439" s="1">
        <v>7</v>
      </c>
      <c r="E439" s="1">
        <v>0</v>
      </c>
      <c r="F439" s="1">
        <v>1</v>
      </c>
      <c r="G439" s="1">
        <v>0</v>
      </c>
    </row>
    <row r="440" spans="1:7" ht="13.2" x14ac:dyDescent="0.25">
      <c r="B440" s="5" t="s">
        <v>127</v>
      </c>
      <c r="C440" s="1">
        <v>4</v>
      </c>
      <c r="D440" s="1">
        <v>5</v>
      </c>
      <c r="E440" s="1">
        <v>5</v>
      </c>
      <c r="F440" s="1">
        <v>1</v>
      </c>
      <c r="G440" s="1">
        <v>2</v>
      </c>
    </row>
    <row r="441" spans="1:7" ht="13.2" x14ac:dyDescent="0.25">
      <c r="B441" s="5" t="s">
        <v>160</v>
      </c>
      <c r="C441" s="1">
        <v>0</v>
      </c>
      <c r="D441" s="1">
        <v>8</v>
      </c>
      <c r="E441" s="1">
        <v>3</v>
      </c>
      <c r="F441" s="1">
        <v>0</v>
      </c>
      <c r="G441" s="1">
        <v>0</v>
      </c>
    </row>
    <row r="442" spans="1:7" ht="13.2" x14ac:dyDescent="0.25">
      <c r="B442" s="5" t="s">
        <v>158</v>
      </c>
      <c r="C442" s="1">
        <v>0</v>
      </c>
      <c r="D442" s="1">
        <v>1</v>
      </c>
      <c r="E442" s="1">
        <v>0</v>
      </c>
      <c r="F442" s="1">
        <v>0</v>
      </c>
      <c r="G442" s="1">
        <v>0</v>
      </c>
    </row>
    <row r="443" spans="1:7" ht="13.2" x14ac:dyDescent="0.25">
      <c r="B443" s="5" t="s">
        <v>166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</row>
    <row r="444" spans="1:7" ht="13.2" x14ac:dyDescent="0.25">
      <c r="B444" s="5" t="s">
        <v>154</v>
      </c>
      <c r="C444" s="1">
        <v>0</v>
      </c>
      <c r="D444" s="1">
        <v>4</v>
      </c>
      <c r="E444" s="1">
        <v>2</v>
      </c>
      <c r="F444" s="1">
        <v>0</v>
      </c>
      <c r="G444" s="1">
        <v>0</v>
      </c>
    </row>
    <row r="445" spans="1:7" ht="15.75" customHeight="1" x14ac:dyDescent="0.25">
      <c r="B445" s="4" t="s">
        <v>44</v>
      </c>
      <c r="C445" s="1">
        <f t="shared" ref="C445:G445" si="49">SUM(C439:C444)</f>
        <v>17</v>
      </c>
      <c r="D445" s="1">
        <f t="shared" si="49"/>
        <v>25</v>
      </c>
      <c r="E445" s="1">
        <f t="shared" si="49"/>
        <v>10</v>
      </c>
      <c r="F445" s="1">
        <f t="shared" si="49"/>
        <v>2</v>
      </c>
      <c r="G445" s="1">
        <f t="shared" si="49"/>
        <v>2</v>
      </c>
    </row>
    <row r="446" spans="1:7" ht="13.2" x14ac:dyDescent="0.25"/>
    <row r="447" spans="1:7" ht="13.2" x14ac:dyDescent="0.25">
      <c r="A447" s="4" t="s">
        <v>157</v>
      </c>
    </row>
    <row r="448" spans="1:7" ht="13.2" x14ac:dyDescent="0.25">
      <c r="A448" s="1" t="s">
        <v>70</v>
      </c>
    </row>
    <row r="449" spans="1:7" ht="13.2" x14ac:dyDescent="0.25">
      <c r="B449" s="1" t="s">
        <v>3</v>
      </c>
      <c r="C449" s="1" t="s">
        <v>4</v>
      </c>
      <c r="D449" s="1" t="s">
        <v>5</v>
      </c>
      <c r="E449" s="1" t="s">
        <v>6</v>
      </c>
      <c r="F449" s="1" t="s">
        <v>7</v>
      </c>
      <c r="G449" s="1" t="s">
        <v>8</v>
      </c>
    </row>
    <row r="450" spans="1:7" ht="13.2" x14ac:dyDescent="0.25">
      <c r="B450" s="5" t="s">
        <v>32</v>
      </c>
      <c r="C450" s="1">
        <v>7</v>
      </c>
      <c r="D450" s="1">
        <v>13</v>
      </c>
      <c r="E450" s="1">
        <v>1</v>
      </c>
      <c r="F450" s="1">
        <v>0</v>
      </c>
      <c r="G450" s="1">
        <v>0</v>
      </c>
    </row>
    <row r="451" spans="1:7" ht="13.2" x14ac:dyDescent="0.25">
      <c r="B451" s="5" t="s">
        <v>144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</row>
    <row r="452" spans="1:7" ht="13.2" x14ac:dyDescent="0.25">
      <c r="B452" s="5" t="s">
        <v>146</v>
      </c>
      <c r="C452" s="1">
        <v>0</v>
      </c>
      <c r="D452" s="1">
        <v>1</v>
      </c>
      <c r="E452" s="1">
        <v>1</v>
      </c>
      <c r="F452" s="1">
        <v>0</v>
      </c>
      <c r="G452" s="1">
        <v>0</v>
      </c>
    </row>
    <row r="453" spans="1:7" ht="13.2" x14ac:dyDescent="0.25">
      <c r="B453" s="5" t="s">
        <v>123</v>
      </c>
      <c r="C453" s="1">
        <v>2</v>
      </c>
      <c r="D453" s="1">
        <v>4</v>
      </c>
      <c r="E453" s="1">
        <v>0</v>
      </c>
      <c r="F453" s="1">
        <v>0</v>
      </c>
      <c r="G453" s="1">
        <v>0</v>
      </c>
    </row>
    <row r="454" spans="1:7" ht="13.2" x14ac:dyDescent="0.25">
      <c r="B454" s="5" t="s">
        <v>147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</row>
    <row r="455" spans="1:7" ht="13.2" x14ac:dyDescent="0.25">
      <c r="B455" s="1" t="s">
        <v>25</v>
      </c>
      <c r="C455" s="1">
        <v>7</v>
      </c>
      <c r="D455" s="1">
        <v>8</v>
      </c>
      <c r="E455" s="1">
        <v>0</v>
      </c>
      <c r="F455" s="1">
        <v>0</v>
      </c>
      <c r="G455" s="1">
        <v>1</v>
      </c>
    </row>
    <row r="456" spans="1:7" ht="13.2" x14ac:dyDescent="0.25">
      <c r="B456" s="4" t="s">
        <v>44</v>
      </c>
      <c r="C456" s="1">
        <f t="shared" ref="C456:D456" si="50">SUM(C450:C455)</f>
        <v>16</v>
      </c>
      <c r="D456" s="1">
        <f t="shared" si="50"/>
        <v>26</v>
      </c>
      <c r="E456" s="1">
        <f>SUM(E450:E454)</f>
        <v>2</v>
      </c>
      <c r="F456" s="1">
        <f>SUM(F450:F455)</f>
        <v>0</v>
      </c>
      <c r="G456" s="1">
        <f>SUM(G450:G454)</f>
        <v>0</v>
      </c>
    </row>
    <row r="457" spans="1:7" ht="13.2" x14ac:dyDescent="0.25">
      <c r="A457" s="1" t="s">
        <v>68</v>
      </c>
    </row>
    <row r="458" spans="1:7" ht="13.2" x14ac:dyDescent="0.25">
      <c r="B458" s="1" t="s">
        <v>3</v>
      </c>
      <c r="C458" s="1" t="s">
        <v>4</v>
      </c>
      <c r="D458" s="1" t="s">
        <v>5</v>
      </c>
      <c r="E458" s="1" t="s">
        <v>6</v>
      </c>
      <c r="F458" s="1" t="s">
        <v>7</v>
      </c>
      <c r="G458" s="1" t="s">
        <v>8</v>
      </c>
    </row>
    <row r="459" spans="1:7" ht="13.2" x14ac:dyDescent="0.25">
      <c r="B459" s="5" t="s">
        <v>145</v>
      </c>
      <c r="C459" s="1">
        <v>3</v>
      </c>
      <c r="D459" s="1">
        <v>7</v>
      </c>
      <c r="E459" s="1">
        <v>0</v>
      </c>
      <c r="F459" s="1">
        <v>0</v>
      </c>
      <c r="G459" s="1">
        <v>0</v>
      </c>
    </row>
    <row r="460" spans="1:7" ht="13.2" x14ac:dyDescent="0.25">
      <c r="B460" s="5" t="s">
        <v>119</v>
      </c>
      <c r="C460" s="1">
        <v>4</v>
      </c>
      <c r="D460" s="1">
        <v>4</v>
      </c>
      <c r="E460" s="1">
        <v>1</v>
      </c>
      <c r="F460" s="1">
        <v>1</v>
      </c>
      <c r="G460" s="1">
        <v>1</v>
      </c>
    </row>
    <row r="461" spans="1:7" ht="13.2" x14ac:dyDescent="0.25">
      <c r="B461" s="5" t="s">
        <v>43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</row>
    <row r="462" spans="1:7" ht="13.2" x14ac:dyDescent="0.25">
      <c r="B462" s="5" t="s">
        <v>153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</row>
    <row r="463" spans="1:7" ht="13.2" x14ac:dyDescent="0.25">
      <c r="B463" s="5" t="s">
        <v>161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</row>
    <row r="464" spans="1:7" ht="13.2" x14ac:dyDescent="0.25">
      <c r="B464" s="5" t="s">
        <v>49</v>
      </c>
      <c r="C464" s="1">
        <v>5</v>
      </c>
      <c r="D464" s="1">
        <v>10</v>
      </c>
      <c r="E464" s="1">
        <v>1</v>
      </c>
      <c r="F464" s="1">
        <v>1</v>
      </c>
      <c r="G464" s="1">
        <v>0</v>
      </c>
    </row>
    <row r="465" spans="1:7" ht="15.75" customHeight="1" x14ac:dyDescent="0.25">
      <c r="B465" s="4" t="s">
        <v>44</v>
      </c>
      <c r="C465" s="1">
        <f t="shared" ref="C465:G465" si="51">SUM(C459:C464)</f>
        <v>12</v>
      </c>
      <c r="D465" s="1">
        <f t="shared" si="51"/>
        <v>21</v>
      </c>
      <c r="E465" s="1">
        <f t="shared" si="51"/>
        <v>2</v>
      </c>
      <c r="F465" s="1">
        <f t="shared" si="51"/>
        <v>2</v>
      </c>
      <c r="G465" s="1">
        <f t="shared" si="51"/>
        <v>1</v>
      </c>
    </row>
    <row r="466" spans="1:7" ht="13.2" x14ac:dyDescent="0.25"/>
    <row r="467" spans="1:7" ht="13.2" x14ac:dyDescent="0.25">
      <c r="A467" s="4" t="s">
        <v>168</v>
      </c>
    </row>
    <row r="468" spans="1:7" ht="13.2" x14ac:dyDescent="0.25">
      <c r="A468" s="1" t="s">
        <v>69</v>
      </c>
    </row>
    <row r="469" spans="1:7" ht="13.2" x14ac:dyDescent="0.25">
      <c r="B469" s="1" t="s">
        <v>3</v>
      </c>
      <c r="C469" s="1" t="s">
        <v>4</v>
      </c>
      <c r="D469" s="1" t="s">
        <v>5</v>
      </c>
      <c r="E469" s="1" t="s">
        <v>6</v>
      </c>
      <c r="F469" s="1" t="s">
        <v>7</v>
      </c>
      <c r="G469" s="1" t="s">
        <v>8</v>
      </c>
    </row>
    <row r="470" spans="1:7" ht="13.2" x14ac:dyDescent="0.25">
      <c r="B470" s="1" t="s">
        <v>24</v>
      </c>
      <c r="C470" s="1">
        <v>3</v>
      </c>
      <c r="D470" s="1">
        <v>10</v>
      </c>
      <c r="E470" s="1">
        <v>1</v>
      </c>
      <c r="F470" s="1">
        <v>2</v>
      </c>
      <c r="G470" s="1">
        <v>0</v>
      </c>
    </row>
    <row r="471" spans="1:7" ht="13.2" x14ac:dyDescent="0.25">
      <c r="B471" s="1" t="s">
        <v>118</v>
      </c>
      <c r="C471" s="1">
        <v>1</v>
      </c>
      <c r="D471" s="1">
        <v>2</v>
      </c>
      <c r="E471" s="1">
        <v>1</v>
      </c>
      <c r="F471" s="1">
        <v>0</v>
      </c>
      <c r="G471" s="1">
        <v>0</v>
      </c>
    </row>
    <row r="472" spans="1:7" ht="13.2" x14ac:dyDescent="0.25">
      <c r="B472" s="1" t="s">
        <v>113</v>
      </c>
      <c r="C472" s="1">
        <v>8</v>
      </c>
      <c r="D472" s="1">
        <v>3</v>
      </c>
      <c r="E472" s="1">
        <v>0</v>
      </c>
      <c r="F472" s="1">
        <v>0</v>
      </c>
      <c r="G472" s="1">
        <v>0</v>
      </c>
    </row>
    <row r="473" spans="1:7" ht="13.2" x14ac:dyDescent="0.25">
      <c r="B473" s="1" t="s">
        <v>120</v>
      </c>
      <c r="C473" s="1">
        <v>3</v>
      </c>
      <c r="D473" s="1">
        <v>5</v>
      </c>
      <c r="E473" s="1">
        <v>2</v>
      </c>
      <c r="F473" s="1">
        <v>0</v>
      </c>
      <c r="G473" s="1">
        <v>0</v>
      </c>
    </row>
    <row r="474" spans="1:7" ht="13.2" x14ac:dyDescent="0.25">
      <c r="B474" s="1" t="s">
        <v>171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</row>
    <row r="475" spans="1:7" ht="13.2" x14ac:dyDescent="0.25">
      <c r="B475" s="1" t="s">
        <v>125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</row>
    <row r="476" spans="1:7" ht="13.2" x14ac:dyDescent="0.25">
      <c r="B476" s="4" t="s">
        <v>44</v>
      </c>
      <c r="C476" s="1">
        <f t="shared" ref="C476:D476" si="52">SUM(C470:C475)</f>
        <v>15</v>
      </c>
      <c r="D476" s="1">
        <f t="shared" si="52"/>
        <v>20</v>
      </c>
      <c r="E476" s="1">
        <f>SUM(E470:E474)</f>
        <v>4</v>
      </c>
      <c r="F476" s="1">
        <f>SUM(F470:F475)</f>
        <v>2</v>
      </c>
      <c r="G476" s="1">
        <f>SUM(G470:G474)</f>
        <v>0</v>
      </c>
    </row>
    <row r="477" spans="1:7" ht="13.2" x14ac:dyDescent="0.25">
      <c r="A477" s="1" t="s">
        <v>77</v>
      </c>
      <c r="C477" s="1">
        <v>0</v>
      </c>
    </row>
    <row r="478" spans="1:7" ht="13.2" x14ac:dyDescent="0.25">
      <c r="B478" s="1" t="s">
        <v>3</v>
      </c>
      <c r="C478" s="1" t="s">
        <v>4</v>
      </c>
      <c r="D478" s="1" t="s">
        <v>5</v>
      </c>
      <c r="E478" s="1" t="s">
        <v>6</v>
      </c>
      <c r="F478" s="1" t="s">
        <v>7</v>
      </c>
      <c r="G478" s="1" t="s">
        <v>8</v>
      </c>
    </row>
    <row r="479" spans="1:7" ht="13.2" x14ac:dyDescent="0.25">
      <c r="B479" s="1" t="s">
        <v>27</v>
      </c>
      <c r="C479" s="1">
        <v>11</v>
      </c>
      <c r="D479" s="1">
        <v>11</v>
      </c>
      <c r="E479" s="1">
        <v>4</v>
      </c>
      <c r="F479" s="1">
        <v>0</v>
      </c>
      <c r="G479" s="1">
        <v>0</v>
      </c>
    </row>
    <row r="480" spans="1:7" ht="13.2" x14ac:dyDescent="0.25">
      <c r="B480" s="1" t="s">
        <v>130</v>
      </c>
      <c r="C480" s="1">
        <v>7</v>
      </c>
      <c r="D480" s="1">
        <v>2</v>
      </c>
      <c r="E480" s="1">
        <v>0</v>
      </c>
      <c r="F480" s="1">
        <v>0</v>
      </c>
      <c r="G480" s="1">
        <v>1</v>
      </c>
    </row>
    <row r="481" spans="1:7" ht="13.2" x14ac:dyDescent="0.25">
      <c r="B481" s="1" t="s">
        <v>133</v>
      </c>
      <c r="C481" s="1">
        <v>0</v>
      </c>
      <c r="D481" s="1">
        <v>2</v>
      </c>
      <c r="E481" s="1">
        <v>0</v>
      </c>
      <c r="F481" s="1">
        <v>0</v>
      </c>
      <c r="G481" s="1">
        <v>0</v>
      </c>
    </row>
    <row r="482" spans="1:7" ht="13.2" x14ac:dyDescent="0.25">
      <c r="B482" s="1" t="s">
        <v>135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</row>
    <row r="483" spans="1:7" ht="13.2" x14ac:dyDescent="0.25">
      <c r="B483" s="1" t="s">
        <v>136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</row>
    <row r="484" spans="1:7" ht="13.2" x14ac:dyDescent="0.25">
      <c r="B484" s="1" t="s">
        <v>34</v>
      </c>
      <c r="C484" s="1">
        <v>3</v>
      </c>
      <c r="D484" s="1">
        <v>4</v>
      </c>
      <c r="E484" s="1">
        <v>2</v>
      </c>
      <c r="F484" s="1">
        <v>2</v>
      </c>
      <c r="G484" s="1">
        <v>0</v>
      </c>
    </row>
    <row r="485" spans="1:7" ht="13.2" x14ac:dyDescent="0.25">
      <c r="B485" s="4" t="s">
        <v>44</v>
      </c>
      <c r="C485" s="1">
        <f t="shared" ref="C485:G485" si="53">SUM(C479:C484)</f>
        <v>21</v>
      </c>
      <c r="D485" s="1">
        <f t="shared" si="53"/>
        <v>19</v>
      </c>
      <c r="E485" s="1">
        <f t="shared" si="53"/>
        <v>6</v>
      </c>
      <c r="F485" s="1">
        <f t="shared" si="53"/>
        <v>2</v>
      </c>
      <c r="G485" s="1">
        <f t="shared" si="53"/>
        <v>1</v>
      </c>
    </row>
    <row r="486" spans="1:7" ht="13.2" x14ac:dyDescent="0.25">
      <c r="A486" s="4" t="s">
        <v>183</v>
      </c>
    </row>
    <row r="487" spans="1:7" ht="13.2" x14ac:dyDescent="0.25">
      <c r="A487" s="1" t="s">
        <v>66</v>
      </c>
    </row>
    <row r="488" spans="1:7" ht="13.2" x14ac:dyDescent="0.25">
      <c r="B488" s="1" t="s">
        <v>3</v>
      </c>
      <c r="C488" s="1" t="s">
        <v>4</v>
      </c>
      <c r="D488" s="1" t="s">
        <v>5</v>
      </c>
      <c r="E488" s="1" t="s">
        <v>6</v>
      </c>
      <c r="F488" s="1" t="s">
        <v>7</v>
      </c>
      <c r="G488" s="1" t="s">
        <v>8</v>
      </c>
    </row>
    <row r="489" spans="1:7" ht="13.2" x14ac:dyDescent="0.25">
      <c r="B489" s="5" t="s">
        <v>21</v>
      </c>
      <c r="C489" s="1">
        <v>6</v>
      </c>
      <c r="D489" s="1">
        <v>5</v>
      </c>
      <c r="E489" s="1">
        <v>0</v>
      </c>
      <c r="F489" s="1">
        <v>1</v>
      </c>
      <c r="G489" s="1">
        <v>1</v>
      </c>
    </row>
    <row r="490" spans="1:7" ht="13.2" x14ac:dyDescent="0.25">
      <c r="B490" s="5" t="s">
        <v>16</v>
      </c>
      <c r="C490" s="1">
        <v>9</v>
      </c>
      <c r="D490" s="1">
        <v>11</v>
      </c>
      <c r="E490" s="1">
        <v>0</v>
      </c>
      <c r="F490" s="1">
        <v>1</v>
      </c>
      <c r="G490" s="1">
        <v>0</v>
      </c>
    </row>
    <row r="491" spans="1:7" ht="13.2" x14ac:dyDescent="0.25">
      <c r="B491" s="5" t="s">
        <v>151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</row>
    <row r="492" spans="1:7" ht="13.2" x14ac:dyDescent="0.25">
      <c r="B492" s="5" t="s">
        <v>163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 ht="13.2" x14ac:dyDescent="0.25">
      <c r="B493" s="5" t="s">
        <v>164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</row>
    <row r="494" spans="1:7" ht="13.2" x14ac:dyDescent="0.25">
      <c r="B494" s="5" t="s">
        <v>165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</row>
    <row r="495" spans="1:7" ht="13.2" x14ac:dyDescent="0.25">
      <c r="B495" s="1" t="s">
        <v>155</v>
      </c>
      <c r="C495" s="1">
        <v>2</v>
      </c>
      <c r="D495" s="1">
        <v>4</v>
      </c>
      <c r="E495" s="1">
        <v>3</v>
      </c>
      <c r="F495" s="1">
        <v>1</v>
      </c>
      <c r="G495" s="1">
        <v>0</v>
      </c>
    </row>
    <row r="496" spans="1:7" ht="13.2" x14ac:dyDescent="0.25">
      <c r="B496" s="4" t="s">
        <v>44</v>
      </c>
      <c r="C496" s="1">
        <f>SUM(C489:C495)</f>
        <v>17</v>
      </c>
      <c r="D496" s="1">
        <f>SUM(D489:D494)</f>
        <v>16</v>
      </c>
      <c r="E496" s="1">
        <f>SUM(E489:E493)</f>
        <v>0</v>
      </c>
      <c r="F496" s="1">
        <f>SUM(F489:F494)</f>
        <v>2</v>
      </c>
      <c r="G496" s="1">
        <f>SUM(G489:G493)</f>
        <v>1</v>
      </c>
    </row>
    <row r="497" spans="1:7" ht="13.2" x14ac:dyDescent="0.25">
      <c r="A497" s="1" t="s">
        <v>77</v>
      </c>
    </row>
    <row r="498" spans="1:7" ht="13.2" x14ac:dyDescent="0.25">
      <c r="B498" s="1" t="s">
        <v>3</v>
      </c>
      <c r="C498" s="1" t="s">
        <v>4</v>
      </c>
      <c r="D498" s="1" t="s">
        <v>5</v>
      </c>
      <c r="E498" s="1" t="s">
        <v>6</v>
      </c>
      <c r="F498" s="1" t="s">
        <v>7</v>
      </c>
      <c r="G498" s="1" t="s">
        <v>8</v>
      </c>
    </row>
    <row r="499" spans="1:7" ht="13.2" x14ac:dyDescent="0.25">
      <c r="B499" s="1" t="s">
        <v>27</v>
      </c>
      <c r="C499" s="1">
        <v>5</v>
      </c>
      <c r="D499" s="1">
        <v>9</v>
      </c>
      <c r="E499" s="1">
        <v>1</v>
      </c>
      <c r="F499" s="1">
        <v>0</v>
      </c>
      <c r="G499" s="1">
        <v>0</v>
      </c>
    </row>
    <row r="500" spans="1:7" ht="13.2" x14ac:dyDescent="0.25">
      <c r="B500" s="1" t="s">
        <v>130</v>
      </c>
      <c r="C500" s="1">
        <v>1</v>
      </c>
      <c r="D500" s="1">
        <v>8</v>
      </c>
      <c r="E500" s="1">
        <v>4</v>
      </c>
      <c r="F500" s="1">
        <v>0</v>
      </c>
      <c r="G500" s="1">
        <v>0</v>
      </c>
    </row>
    <row r="501" spans="1:7" ht="13.2" x14ac:dyDescent="0.25">
      <c r="B501" s="1" t="s">
        <v>133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</row>
    <row r="502" spans="1:7" ht="13.2" x14ac:dyDescent="0.25">
      <c r="B502" s="1" t="s">
        <v>135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</row>
    <row r="503" spans="1:7" ht="13.2" x14ac:dyDescent="0.25">
      <c r="B503" s="1" t="s">
        <v>136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</row>
    <row r="504" spans="1:7" ht="13.2" x14ac:dyDescent="0.25">
      <c r="B504" s="1" t="s">
        <v>34</v>
      </c>
      <c r="C504" s="1">
        <v>9</v>
      </c>
      <c r="D504" s="1">
        <v>7</v>
      </c>
      <c r="E504" s="1">
        <v>0</v>
      </c>
      <c r="F504" s="1">
        <v>1</v>
      </c>
      <c r="G504" s="1">
        <v>1</v>
      </c>
    </row>
    <row r="505" spans="1:7" ht="15.75" customHeight="1" x14ac:dyDescent="0.25">
      <c r="B505" s="4" t="s">
        <v>44</v>
      </c>
      <c r="C505" s="1">
        <f t="shared" ref="C505:G505" si="54">SUM(C499:C504)</f>
        <v>15</v>
      </c>
      <c r="D505" s="1">
        <f t="shared" si="54"/>
        <v>24</v>
      </c>
      <c r="E505" s="1">
        <f t="shared" si="54"/>
        <v>5</v>
      </c>
      <c r="F505" s="1">
        <f t="shared" si="54"/>
        <v>1</v>
      </c>
      <c r="G505" s="1">
        <f t="shared" si="54"/>
        <v>1</v>
      </c>
    </row>
    <row r="506" spans="1:7" ht="13.2" x14ac:dyDescent="0.25"/>
    <row r="507" spans="1:7" ht="15.75" customHeight="1" x14ac:dyDescent="0.25">
      <c r="A507" s="4" t="s">
        <v>184</v>
      </c>
    </row>
    <row r="508" spans="1:7" ht="13.2" x14ac:dyDescent="0.25"/>
    <row r="509" spans="1:7" ht="13.2" x14ac:dyDescent="0.25">
      <c r="A509" s="1" t="s">
        <v>66</v>
      </c>
    </row>
    <row r="510" spans="1:7" ht="13.2" x14ac:dyDescent="0.25">
      <c r="B510" s="1" t="s">
        <v>3</v>
      </c>
      <c r="C510" s="1" t="s">
        <v>4</v>
      </c>
      <c r="D510" s="1" t="s">
        <v>5</v>
      </c>
      <c r="E510" s="1" t="s">
        <v>6</v>
      </c>
      <c r="F510" s="1" t="s">
        <v>7</v>
      </c>
      <c r="G510" s="1" t="s">
        <v>8</v>
      </c>
    </row>
    <row r="511" spans="1:7" ht="13.2" x14ac:dyDescent="0.25">
      <c r="B511" s="5" t="s">
        <v>21</v>
      </c>
      <c r="C511" s="1">
        <v>11</v>
      </c>
      <c r="D511" s="1">
        <v>7</v>
      </c>
      <c r="E511" s="1">
        <v>2</v>
      </c>
      <c r="F511" s="1">
        <v>0</v>
      </c>
      <c r="G511" s="1">
        <v>0</v>
      </c>
    </row>
    <row r="512" spans="1:7" ht="13.2" x14ac:dyDescent="0.25">
      <c r="B512" s="5" t="s">
        <v>16</v>
      </c>
      <c r="C512" s="1">
        <v>7</v>
      </c>
      <c r="D512" s="1">
        <v>9</v>
      </c>
      <c r="E512" s="1">
        <v>5</v>
      </c>
      <c r="F512" s="1">
        <v>1</v>
      </c>
      <c r="G512" s="1">
        <v>0</v>
      </c>
    </row>
    <row r="513" spans="1:7" ht="13.2" x14ac:dyDescent="0.25">
      <c r="B513" s="5" t="s">
        <v>151</v>
      </c>
      <c r="C513" s="1">
        <v>3</v>
      </c>
      <c r="D513" s="1">
        <v>5</v>
      </c>
      <c r="E513" s="1">
        <v>1</v>
      </c>
      <c r="F513" s="1">
        <v>1</v>
      </c>
      <c r="G513" s="1">
        <v>0</v>
      </c>
    </row>
    <row r="514" spans="1:7" ht="13.2" x14ac:dyDescent="0.25">
      <c r="B514" s="5" t="s">
        <v>163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</row>
    <row r="515" spans="1:7" ht="13.2" x14ac:dyDescent="0.25">
      <c r="B515" s="5" t="s">
        <v>164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</row>
    <row r="516" spans="1:7" ht="13.2" x14ac:dyDescent="0.25">
      <c r="B516" s="5" t="s">
        <v>165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</row>
    <row r="517" spans="1:7" ht="13.2" x14ac:dyDescent="0.25">
      <c r="B517" s="1" t="s">
        <v>155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</row>
    <row r="518" spans="1:7" ht="13.2" x14ac:dyDescent="0.25">
      <c r="B518" s="4" t="s">
        <v>44</v>
      </c>
      <c r="C518" s="1">
        <f>SUM(C511:C517)</f>
        <v>21</v>
      </c>
      <c r="D518" s="1">
        <f>SUM(D511:D516)</f>
        <v>21</v>
      </c>
      <c r="E518" s="1">
        <f>SUM(E511:E515)</f>
        <v>8</v>
      </c>
      <c r="F518" s="1">
        <f>SUM(F511:F516)</f>
        <v>2</v>
      </c>
      <c r="G518" s="1">
        <f>SUM(G511:G515)</f>
        <v>0</v>
      </c>
    </row>
    <row r="519" spans="1:7" ht="13.2" x14ac:dyDescent="0.25">
      <c r="A519" s="1" t="s">
        <v>70</v>
      </c>
    </row>
    <row r="520" spans="1:7" ht="13.2" x14ac:dyDescent="0.25">
      <c r="B520" s="1" t="s">
        <v>3</v>
      </c>
      <c r="C520" s="1" t="s">
        <v>4</v>
      </c>
      <c r="D520" s="1" t="s">
        <v>5</v>
      </c>
      <c r="E520" s="1" t="s">
        <v>6</v>
      </c>
      <c r="F520" s="1" t="s">
        <v>7</v>
      </c>
      <c r="G520" s="1" t="s">
        <v>8</v>
      </c>
    </row>
    <row r="521" spans="1:7" ht="13.2" x14ac:dyDescent="0.25">
      <c r="B521" s="5" t="s">
        <v>32</v>
      </c>
      <c r="C521" s="1">
        <v>4</v>
      </c>
      <c r="D521" s="1">
        <v>10</v>
      </c>
      <c r="E521" s="1">
        <v>2</v>
      </c>
      <c r="F521" s="1">
        <v>2</v>
      </c>
      <c r="G521" s="1">
        <v>1</v>
      </c>
    </row>
    <row r="522" spans="1:7" ht="13.2" x14ac:dyDescent="0.25">
      <c r="B522" s="5" t="s">
        <v>144</v>
      </c>
      <c r="C522" s="1">
        <v>1</v>
      </c>
      <c r="D522" s="1">
        <v>2</v>
      </c>
      <c r="E522" s="1">
        <v>1</v>
      </c>
      <c r="F522" s="1">
        <v>0</v>
      </c>
      <c r="G522" s="1">
        <v>0</v>
      </c>
    </row>
    <row r="523" spans="1:7" ht="13.2" x14ac:dyDescent="0.25">
      <c r="B523" s="5" t="s">
        <v>146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</row>
    <row r="524" spans="1:7" ht="13.2" x14ac:dyDescent="0.25">
      <c r="B524" s="5" t="s">
        <v>123</v>
      </c>
      <c r="C524" s="1">
        <v>0</v>
      </c>
      <c r="D524" s="1">
        <v>2</v>
      </c>
      <c r="E524" s="1">
        <v>0</v>
      </c>
      <c r="F524" s="1">
        <v>0</v>
      </c>
      <c r="G524" s="1">
        <v>1</v>
      </c>
    </row>
    <row r="525" spans="1:7" ht="13.2" x14ac:dyDescent="0.25">
      <c r="B525" s="5" t="s">
        <v>147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</row>
    <row r="526" spans="1:7" ht="13.2" x14ac:dyDescent="0.25">
      <c r="B526" s="1" t="s">
        <v>25</v>
      </c>
      <c r="C526" s="1">
        <v>9</v>
      </c>
      <c r="D526" s="1">
        <v>5</v>
      </c>
      <c r="E526" s="1">
        <v>1</v>
      </c>
      <c r="F526" s="1">
        <v>1</v>
      </c>
      <c r="G526" s="1">
        <v>0</v>
      </c>
    </row>
    <row r="527" spans="1:7" ht="15.75" customHeight="1" x14ac:dyDescent="0.25">
      <c r="B527" s="4" t="s">
        <v>44</v>
      </c>
      <c r="C527" s="1">
        <f t="shared" ref="C527:G527" si="55">SUM(C521:C526)</f>
        <v>14</v>
      </c>
      <c r="D527" s="1">
        <f t="shared" si="55"/>
        <v>19</v>
      </c>
      <c r="E527" s="1">
        <f t="shared" si="55"/>
        <v>4</v>
      </c>
      <c r="F527" s="1">
        <f t="shared" si="55"/>
        <v>3</v>
      </c>
      <c r="G527" s="1">
        <f t="shared" si="55"/>
        <v>2</v>
      </c>
    </row>
  </sheetData>
  <conditionalFormatting sqref="N16:N25 L26">
    <cfRule type="cellIs" dxfId="3" priority="1" operator="between">
      <formula>1</formula>
      <formula>2</formula>
    </cfRule>
    <cfRule type="cellIs" dxfId="2" priority="2" operator="between">
      <formula>-1</formula>
      <formula>-2</formula>
    </cfRule>
    <cfRule type="cellIs" dxfId="1" priority="3" operator="greaterThanOrEqual">
      <formula>3</formula>
    </cfRule>
    <cfRule type="cellIs" dxfId="0" priority="4" operator="lessThanOrEqual">
      <formula>-3</formula>
    </cfRule>
  </conditionalFormatting>
  <dataValidations count="1">
    <dataValidation type="custom" allowBlank="1" showDropDown="1" sqref="K39:Q99" xr:uid="{00000000-0002-0000-0000-000000000000}">
      <formula1>AND(ISNUMBER(K39),(NOT(OR(NOT(ISERROR(DATEVALUE(K39))), AND(ISNUMBER(K39), LEFT(CELL("format", K39))="D")))))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Kane</dc:creator>
  <cp:lastModifiedBy>Conor Kane</cp:lastModifiedBy>
  <dcterms:created xsi:type="dcterms:W3CDTF">2026-06-02T00:07:54Z</dcterms:created>
  <dcterms:modified xsi:type="dcterms:W3CDTF">2026-06-02T00:07:54Z</dcterms:modified>
</cp:coreProperties>
</file>